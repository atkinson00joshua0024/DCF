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oshatkinson/Desktop/"/>
    </mc:Choice>
  </mc:AlternateContent>
  <xr:revisionPtr revIDLastSave="0" documentId="13_ncr:1_{A726567F-8DA3-CF4A-8BE7-24DD8418A543}" xr6:coauthVersionLast="47" xr6:coauthVersionMax="47" xr10:uidLastSave="{00000000-0000-0000-0000-000000000000}"/>
  <bookViews>
    <workbookView xWindow="2780" yWindow="760" windowWidth="25520" windowHeight="16960" xr2:uid="{00000000-000D-0000-FFFF-FFFF00000000}"/>
  </bookViews>
  <sheets>
    <sheet name="DCF Valuation" sheetId="4" r:id="rId1"/>
    <sheet name="Forecasted Assumptions" sheetId="2" r:id="rId2"/>
    <sheet name="Income Statement Forecast" sheetId="15" r:id="rId3"/>
    <sheet name="Balance Sheet Forecast" sheetId="16" r:id="rId4"/>
    <sheet name="Cash Flows Forecast" sheetId="17" r:id="rId5"/>
    <sheet name="Ratio Analysis" sheetId="3" r:id="rId6"/>
    <sheet name="Financials --&gt;" sheetId="5" r:id="rId7"/>
    <sheet name="Income Statement" sheetId="13" r:id="rId8"/>
    <sheet name="Balance Sheet" sheetId="12" r:id="rId9"/>
    <sheet name="Cash Flow Statement" sheetId="14" r:id="rId10"/>
  </sheets>
  <calcPr calcId="191029" iterate="1" iterateCount="5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ixg+faBBj9zXduaJMYZZcr5QXyZHSh3vEWbwcM8XuoE="/>
    </ext>
  </extLst>
</workbook>
</file>

<file path=xl/calcChain.xml><?xml version="1.0" encoding="utf-8"?>
<calcChain xmlns="http://schemas.openxmlformats.org/spreadsheetml/2006/main">
  <c r="I34" i="4" l="1"/>
  <c r="J19" i="15"/>
  <c r="I19" i="15"/>
  <c r="H19" i="15"/>
  <c r="G19" i="15"/>
  <c r="G12" i="15"/>
  <c r="H12" i="15"/>
  <c r="I12" i="15"/>
  <c r="J12" i="15"/>
  <c r="G15" i="15"/>
  <c r="H15" i="15"/>
  <c r="I15" i="15"/>
  <c r="J15" i="15"/>
  <c r="F19" i="15"/>
  <c r="H16" i="17"/>
  <c r="I16" i="17"/>
  <c r="J16" i="17" s="1"/>
  <c r="K16" i="17" s="1"/>
  <c r="H17" i="17"/>
  <c r="I17" i="17" s="1"/>
  <c r="J17" i="17" s="1"/>
  <c r="K17" i="17" s="1"/>
  <c r="G33" i="16"/>
  <c r="H33" i="16" s="1"/>
  <c r="I33" i="16" s="1"/>
  <c r="J33" i="16" s="1"/>
  <c r="G34" i="16"/>
  <c r="H34" i="16"/>
  <c r="I34" i="16"/>
  <c r="J34" i="16"/>
  <c r="G27" i="16"/>
  <c r="H27" i="16" s="1"/>
  <c r="I27" i="16" s="1"/>
  <c r="J27" i="16" s="1"/>
  <c r="G16" i="16"/>
  <c r="H16" i="16"/>
  <c r="I16" i="16" s="1"/>
  <c r="J16" i="16" s="1"/>
  <c r="G17" i="16"/>
  <c r="H17" i="16" s="1"/>
  <c r="I17" i="16" s="1"/>
  <c r="J17" i="16" s="1"/>
  <c r="G18" i="16"/>
  <c r="H18" i="16"/>
  <c r="I18" i="16" s="1"/>
  <c r="J18" i="16" s="1"/>
  <c r="G19" i="16"/>
  <c r="H19" i="16"/>
  <c r="I19" i="16" s="1"/>
  <c r="J19" i="16" s="1"/>
  <c r="G6" i="16"/>
  <c r="H6" i="16" s="1"/>
  <c r="I6" i="16" s="1"/>
  <c r="J6" i="16" s="1"/>
  <c r="G9" i="16"/>
  <c r="H9" i="16"/>
  <c r="I9" i="16"/>
  <c r="J9" i="16"/>
  <c r="F9" i="16"/>
  <c r="F6" i="15"/>
  <c r="G6" i="15" s="1"/>
  <c r="E49" i="2"/>
  <c r="D49" i="2"/>
  <c r="C49" i="2"/>
  <c r="B49" i="2"/>
  <c r="E44" i="2"/>
  <c r="D44" i="2"/>
  <c r="C44" i="2"/>
  <c r="B44" i="2"/>
  <c r="E37" i="2"/>
  <c r="F15" i="15"/>
  <c r="D37" i="2"/>
  <c r="C37" i="2"/>
  <c r="B37" i="2"/>
  <c r="E22" i="2"/>
  <c r="D22" i="2"/>
  <c r="C22" i="2"/>
  <c r="B22" i="2"/>
  <c r="E17" i="2"/>
  <c r="D17" i="2"/>
  <c r="C17" i="2"/>
  <c r="B17" i="2"/>
  <c r="C12" i="2"/>
  <c r="D12" i="2"/>
  <c r="E12" i="2"/>
  <c r="B12" i="2"/>
  <c r="E7" i="2"/>
  <c r="D7" i="2"/>
  <c r="C7" i="2"/>
  <c r="F36" i="16" l="1"/>
  <c r="H6" i="15"/>
  <c r="H10" i="16" s="1"/>
  <c r="G11" i="15"/>
  <c r="G13" i="15"/>
  <c r="G36" i="16"/>
  <c r="G7" i="15"/>
  <c r="G8" i="15" s="1"/>
  <c r="G25" i="16"/>
  <c r="G28" i="16"/>
  <c r="G7" i="16"/>
  <c r="G26" i="16"/>
  <c r="G10" i="16"/>
  <c r="H15" i="17"/>
  <c r="G35" i="16"/>
  <c r="F26" i="16"/>
  <c r="F28" i="16"/>
  <c r="F35" i="16"/>
  <c r="F7" i="16"/>
  <c r="F8" i="16"/>
  <c r="F25" i="16"/>
  <c r="F7" i="15"/>
  <c r="F11" i="15"/>
  <c r="F13" i="15"/>
  <c r="G11" i="17"/>
  <c r="F15" i="16"/>
  <c r="G15" i="17"/>
  <c r="H35" i="16"/>
  <c r="H36" i="16"/>
  <c r="H26" i="16"/>
  <c r="I6" i="15"/>
  <c r="H15" i="16"/>
  <c r="H8" i="16"/>
  <c r="I15" i="17"/>
  <c r="H25" i="16"/>
  <c r="G8" i="16"/>
  <c r="G15" i="16"/>
  <c r="H7" i="16" l="1"/>
  <c r="H28" i="16"/>
  <c r="H7" i="15"/>
  <c r="H8" i="15" s="1"/>
  <c r="G16" i="15"/>
  <c r="I11" i="15"/>
  <c r="I13" i="15"/>
  <c r="H11" i="15"/>
  <c r="H13" i="15"/>
  <c r="J15" i="17"/>
  <c r="I7" i="15"/>
  <c r="I8" i="15" s="1"/>
  <c r="I25" i="16"/>
  <c r="I15" i="16"/>
  <c r="I10" i="16"/>
  <c r="I36" i="16"/>
  <c r="I26" i="16"/>
  <c r="J6" i="15"/>
  <c r="I8" i="16"/>
  <c r="I35" i="16"/>
  <c r="I28" i="16"/>
  <c r="I7" i="16"/>
  <c r="I16" i="15" l="1"/>
  <c r="H16" i="15"/>
  <c r="J13" i="15"/>
  <c r="J11" i="15"/>
  <c r="J28" i="16"/>
  <c r="J7" i="16"/>
  <c r="J8" i="16"/>
  <c r="J10" i="16"/>
  <c r="K15" i="17"/>
  <c r="J36" i="16"/>
  <c r="J26" i="16"/>
  <c r="J15" i="16"/>
  <c r="J7" i="15"/>
  <c r="J8" i="15" s="1"/>
  <c r="J35" i="16"/>
  <c r="J25" i="16"/>
  <c r="J16" i="15" l="1"/>
  <c r="D28" i="4" l="1"/>
  <c r="D5" i="3"/>
  <c r="E5" i="3"/>
  <c r="F5" i="3"/>
  <c r="D8" i="3"/>
  <c r="E8" i="3"/>
  <c r="F8" i="3"/>
  <c r="D9" i="3"/>
  <c r="E9" i="3"/>
  <c r="F9" i="3"/>
  <c r="D10" i="3"/>
  <c r="E10" i="3"/>
  <c r="F10" i="3"/>
  <c r="D11" i="3"/>
  <c r="E11" i="3"/>
  <c r="F11" i="3"/>
  <c r="D14" i="3"/>
  <c r="E14" i="3"/>
  <c r="F14" i="3"/>
  <c r="D17" i="3"/>
  <c r="E17" i="3"/>
  <c r="F17" i="3"/>
  <c r="D18" i="3"/>
  <c r="E18" i="3"/>
  <c r="F18" i="3"/>
  <c r="D19" i="3"/>
  <c r="E19" i="3"/>
  <c r="F19" i="3"/>
  <c r="F24" i="3" s="1"/>
  <c r="F27" i="3" s="1"/>
  <c r="D20" i="3"/>
  <c r="E20" i="3"/>
  <c r="F20" i="3"/>
  <c r="D21" i="3"/>
  <c r="E21" i="3"/>
  <c r="F21" i="3"/>
  <c r="D24" i="3"/>
  <c r="E24" i="3"/>
  <c r="D25" i="3"/>
  <c r="E25" i="3"/>
  <c r="F25" i="3"/>
  <c r="D26" i="3"/>
  <c r="E26" i="3"/>
  <c r="E27" i="3" s="1"/>
  <c r="F26" i="3"/>
  <c r="D27" i="3"/>
  <c r="C26" i="3"/>
  <c r="C25" i="3"/>
  <c r="C21" i="3"/>
  <c r="C20" i="3"/>
  <c r="C19" i="3"/>
  <c r="C18" i="3"/>
  <c r="C17" i="3"/>
  <c r="C14" i="3"/>
  <c r="C11" i="3"/>
  <c r="C10" i="3"/>
  <c r="C9" i="3"/>
  <c r="C8" i="3"/>
  <c r="C5" i="3"/>
  <c r="C45" i="4"/>
  <c r="C44" i="4" s="1"/>
  <c r="D19" i="4"/>
  <c r="I24" i="4"/>
  <c r="D21" i="4"/>
  <c r="F20" i="17" l="1"/>
  <c r="H19" i="17"/>
  <c r="I19" i="17" s="1"/>
  <c r="J19" i="17" s="1"/>
  <c r="K19" i="17" s="1"/>
  <c r="G19" i="17"/>
  <c r="F12" i="17" a="1"/>
  <c r="F12" i="17" s="1"/>
  <c r="G12" i="17" s="1"/>
  <c r="H12" i="17" s="1"/>
  <c r="I12" i="17" s="1"/>
  <c r="J12" i="17" s="1"/>
  <c r="K12" i="17" s="1"/>
  <c r="J41" i="16"/>
  <c r="G41" i="16"/>
  <c r="H41" i="16" s="1"/>
  <c r="I41" i="16" s="1"/>
  <c r="F41" i="16"/>
  <c r="F33" i="16"/>
  <c r="G42" i="16"/>
  <c r="H42" i="16"/>
  <c r="I42" i="16"/>
  <c r="J42" i="16"/>
  <c r="G43" i="16"/>
  <c r="H43" i="16"/>
  <c r="I43" i="16"/>
  <c r="J43" i="16"/>
  <c r="G44" i="16"/>
  <c r="H44" i="16"/>
  <c r="I44" i="16"/>
  <c r="J44" i="16"/>
  <c r="F44" i="16"/>
  <c r="F43" i="16"/>
  <c r="F42" i="16"/>
  <c r="C89" i="2"/>
  <c r="D89" i="2"/>
  <c r="E89" i="2"/>
  <c r="F89" i="2" s="1"/>
  <c r="G89" i="2" s="1"/>
  <c r="H89" i="2" s="1"/>
  <c r="I89" i="2" s="1"/>
  <c r="J89" i="2" s="1"/>
  <c r="B89" i="2"/>
  <c r="C84" i="2"/>
  <c r="D84" i="2"/>
  <c r="E84" i="2"/>
  <c r="F84" i="2" s="1"/>
  <c r="G84" i="2" s="1"/>
  <c r="H84" i="2" s="1"/>
  <c r="I84" i="2" s="1"/>
  <c r="J84" i="2" s="1"/>
  <c r="B84" i="2"/>
  <c r="F34" i="16"/>
  <c r="F27" i="16"/>
  <c r="F19" i="16"/>
  <c r="F18" i="16"/>
  <c r="F17" i="16"/>
  <c r="F16" i="16"/>
  <c r="B17" i="16" a="1"/>
  <c r="B17" i="16" s="1"/>
  <c r="C74" i="2"/>
  <c r="D74" i="2"/>
  <c r="E74" i="2"/>
  <c r="F74" i="2" s="1"/>
  <c r="G74" i="2" s="1"/>
  <c r="H74" i="2" s="1"/>
  <c r="I74" i="2" s="1"/>
  <c r="J74" i="2" s="1"/>
  <c r="B74" i="2"/>
  <c r="C79" i="2"/>
  <c r="D79" i="2"/>
  <c r="E79" i="2"/>
  <c r="F79" i="2" s="1"/>
  <c r="G79" i="2" s="1"/>
  <c r="H79" i="2" s="1"/>
  <c r="I79" i="2" s="1"/>
  <c r="J79" i="2" s="1"/>
  <c r="F6" i="16"/>
  <c r="F12" i="15"/>
  <c r="G32" i="2"/>
  <c r="E15" i="17" a="1"/>
  <c r="E15" i="17" s="1"/>
  <c r="F44" i="2"/>
  <c r="G44" i="2" s="1"/>
  <c r="H44" i="2" s="1"/>
  <c r="I44" i="2" s="1"/>
  <c r="J44" i="2" s="1"/>
  <c r="F49" i="2"/>
  <c r="G49" i="2" s="1"/>
  <c r="H49" i="2" s="1"/>
  <c r="I49" i="2" s="1"/>
  <c r="J49" i="2" s="1"/>
  <c r="C54" i="2"/>
  <c r="D54" i="2"/>
  <c r="E54" i="2"/>
  <c r="F54" i="2" s="1"/>
  <c r="G54" i="2" s="1"/>
  <c r="H54" i="2" s="1"/>
  <c r="I54" i="2" s="1"/>
  <c r="J54" i="2" s="1"/>
  <c r="C59" i="2"/>
  <c r="D59" i="2"/>
  <c r="E59" i="2"/>
  <c r="F59" i="2" s="1"/>
  <c r="G59" i="2" s="1"/>
  <c r="H59" i="2" s="1"/>
  <c r="I59" i="2" s="1"/>
  <c r="J59" i="2" s="1"/>
  <c r="C64" i="2"/>
  <c r="D64" i="2"/>
  <c r="E64" i="2"/>
  <c r="F64" i="2" s="1"/>
  <c r="G64" i="2" s="1"/>
  <c r="H64" i="2" s="1"/>
  <c r="I64" i="2" s="1"/>
  <c r="J64" i="2" s="1"/>
  <c r="C69" i="2"/>
  <c r="D69" i="2"/>
  <c r="E69" i="2"/>
  <c r="F69" i="2" s="1"/>
  <c r="G69" i="2" s="1"/>
  <c r="H69" i="2" s="1"/>
  <c r="I69" i="2" s="1"/>
  <c r="J69" i="2" s="1"/>
  <c r="B79" i="2"/>
  <c r="B69" i="2"/>
  <c r="B64" i="2"/>
  <c r="B59" i="2"/>
  <c r="B54" i="2"/>
  <c r="F22" i="2"/>
  <c r="G22" i="2" s="1"/>
  <c r="H22" i="2" s="1"/>
  <c r="I22" i="2" s="1"/>
  <c r="J22" i="2" s="1"/>
  <c r="F17" i="2"/>
  <c r="G17" i="2" s="1"/>
  <c r="I17" i="2" s="1"/>
  <c r="J17" i="2" s="1"/>
  <c r="C49" i="16"/>
  <c r="D49" i="16"/>
  <c r="E49" i="16"/>
  <c r="D19" i="17" a="1"/>
  <c r="D19" i="17" s="1"/>
  <c r="E19" i="17" a="1"/>
  <c r="E19" i="17" s="1"/>
  <c r="F19" i="17" a="1"/>
  <c r="F19" i="17" s="1"/>
  <c r="C19" i="17" a="1"/>
  <c r="C19" i="17" s="1"/>
  <c r="D15" i="17" a="1"/>
  <c r="D15" i="17" s="1"/>
  <c r="C101" i="2" s="1"/>
  <c r="F15" i="17" a="1"/>
  <c r="F15" i="17" s="1"/>
  <c r="E101" i="2" s="1"/>
  <c r="F101" i="2" s="1"/>
  <c r="G101" i="2" s="1"/>
  <c r="H101" i="2" s="1"/>
  <c r="I101" i="2" s="1"/>
  <c r="J101" i="2" s="1"/>
  <c r="D16" i="17" a="1"/>
  <c r="D16" i="17" s="1"/>
  <c r="E16" i="17" a="1"/>
  <c r="E16" i="17" s="1"/>
  <c r="F16" i="17" a="1"/>
  <c r="F16" i="17" s="1"/>
  <c r="G16" i="17" s="1"/>
  <c r="D17" i="17" a="1"/>
  <c r="D17" i="17" s="1"/>
  <c r="E17" i="17" a="1"/>
  <c r="E17" i="17" s="1"/>
  <c r="F17" i="17" a="1"/>
  <c r="F17" i="17" s="1"/>
  <c r="G17" i="17" s="1"/>
  <c r="C17" i="17" a="1"/>
  <c r="C17" i="17" s="1"/>
  <c r="C16" i="17" a="1"/>
  <c r="C16" i="17" s="1"/>
  <c r="C15" i="17" a="1"/>
  <c r="C15" i="17" s="1"/>
  <c r="B101" i="2" s="1"/>
  <c r="D12" i="17" a="1"/>
  <c r="D12" i="17" s="1"/>
  <c r="E12" i="17" a="1"/>
  <c r="E12" i="17" s="1"/>
  <c r="C12" i="17" a="1"/>
  <c r="C12" i="17" s="1"/>
  <c r="D11" i="17" a="1"/>
  <c r="D11" i="17" s="1"/>
  <c r="C96" i="2" s="1"/>
  <c r="E11" i="17" a="1"/>
  <c r="E11" i="17" s="1"/>
  <c r="E13" i="17" s="1"/>
  <c r="F11" i="17" a="1"/>
  <c r="F11" i="17" s="1"/>
  <c r="C11" i="17" a="1"/>
  <c r="C11" i="17" s="1"/>
  <c r="B96" i="2" s="1"/>
  <c r="D7" i="17"/>
  <c r="E7" i="17"/>
  <c r="F7" i="17"/>
  <c r="C7" i="17"/>
  <c r="F8" i="17" a="1"/>
  <c r="F8" i="17" s="1"/>
  <c r="E8" i="17" a="1"/>
  <c r="E8" i="17" s="1"/>
  <c r="D8" i="17" a="1"/>
  <c r="D8" i="17" s="1"/>
  <c r="C8" i="17" a="1"/>
  <c r="C8" i="17" s="1"/>
  <c r="C23" i="15"/>
  <c r="D23" i="15"/>
  <c r="E23" i="15"/>
  <c r="B23" i="15"/>
  <c r="C22" i="15" a="1"/>
  <c r="C22" i="15" s="1"/>
  <c r="D22" i="15" a="1"/>
  <c r="D22" i="15" s="1"/>
  <c r="E22" i="15" a="1"/>
  <c r="E22" i="15" s="1"/>
  <c r="B22" i="15" a="1"/>
  <c r="B22" i="15"/>
  <c r="C21" i="15"/>
  <c r="D21" i="15"/>
  <c r="E21" i="15"/>
  <c r="C19" i="15" a="1"/>
  <c r="C19" i="15" s="1"/>
  <c r="D19" i="15" a="1"/>
  <c r="D19" i="15"/>
  <c r="E19" i="15" a="1"/>
  <c r="E19" i="15" s="1"/>
  <c r="B19" i="15" a="1"/>
  <c r="B19" i="15" s="1"/>
  <c r="B21" i="15" s="1"/>
  <c r="C20" i="15" a="1"/>
  <c r="C20" i="15" s="1"/>
  <c r="D20" i="15" a="1"/>
  <c r="D20" i="15" s="1"/>
  <c r="E20" i="15" a="1"/>
  <c r="E20" i="15" s="1"/>
  <c r="B20" i="15" a="1"/>
  <c r="B20" i="15" s="1"/>
  <c r="C18" i="15" a="1"/>
  <c r="C18" i="15" s="1"/>
  <c r="D18" i="15" a="1"/>
  <c r="D18" i="15" s="1"/>
  <c r="E18" i="15" a="1"/>
  <c r="E18" i="15" s="1"/>
  <c r="B18" i="15" a="1"/>
  <c r="B18" i="15" s="1"/>
  <c r="C15" i="15" a="1"/>
  <c r="C15" i="15" s="1"/>
  <c r="D15" i="15" a="1"/>
  <c r="D15" i="15" s="1"/>
  <c r="B12" i="15" a="1"/>
  <c r="B12" i="15" s="1"/>
  <c r="C11" i="15" a="1"/>
  <c r="C11" i="15" s="1"/>
  <c r="D11" i="15" a="1"/>
  <c r="D11" i="15" s="1"/>
  <c r="E11" i="15" a="1"/>
  <c r="E11" i="15" s="1"/>
  <c r="B11" i="15" a="1"/>
  <c r="B11" i="15" s="1"/>
  <c r="C14" i="15" a="1"/>
  <c r="C14" i="15" s="1"/>
  <c r="D14" i="15" a="1"/>
  <c r="D14" i="15" s="1"/>
  <c r="E14" i="15" a="1"/>
  <c r="E14" i="15" s="1"/>
  <c r="B14" i="15" a="1"/>
  <c r="B14" i="15" s="1"/>
  <c r="B6" i="15" a="1"/>
  <c r="B6" i="15" s="1"/>
  <c r="B7" i="15" a="1"/>
  <c r="B7" i="15" s="1"/>
  <c r="C47" i="16"/>
  <c r="D47" i="16"/>
  <c r="E47" i="16"/>
  <c r="B47" i="16"/>
  <c r="E45" i="16"/>
  <c r="C45" i="16"/>
  <c r="D45" i="16"/>
  <c r="B45" i="16"/>
  <c r="C44" i="16" a="1"/>
  <c r="C44" i="16" s="1"/>
  <c r="D44" i="16" a="1"/>
  <c r="D44" i="16"/>
  <c r="E44" i="16" a="1"/>
  <c r="E44" i="16" s="1"/>
  <c r="B44" i="16" a="1"/>
  <c r="B44" i="16" s="1"/>
  <c r="C43" i="16" a="1"/>
  <c r="C43" i="16" s="1"/>
  <c r="D43" i="16" a="1"/>
  <c r="D43" i="16" s="1"/>
  <c r="E43" i="16" a="1"/>
  <c r="E43" i="16"/>
  <c r="B43" i="16" a="1"/>
  <c r="B43" i="16" s="1"/>
  <c r="C42" i="16" a="1"/>
  <c r="C42" i="16" s="1"/>
  <c r="D42" i="16" a="1"/>
  <c r="D42" i="16" s="1"/>
  <c r="E42" i="16" a="1"/>
  <c r="E42" i="16" s="1"/>
  <c r="B42" i="16" a="1"/>
  <c r="B42" i="16" s="1"/>
  <c r="C41" i="16" a="1"/>
  <c r="C41" i="16" s="1"/>
  <c r="D41" i="16" a="1"/>
  <c r="D41" i="16" s="1"/>
  <c r="E41" i="16" a="1"/>
  <c r="E41" i="16" s="1"/>
  <c r="B41" i="16" a="1"/>
  <c r="B41" i="16" s="1"/>
  <c r="B37" i="16"/>
  <c r="C36" i="16" a="1"/>
  <c r="C36" i="16" s="1"/>
  <c r="D36" i="16" a="1"/>
  <c r="D36" i="16" s="1"/>
  <c r="E36" i="16" a="1"/>
  <c r="E36" i="16" s="1"/>
  <c r="B36" i="16" a="1"/>
  <c r="B36" i="16" s="1"/>
  <c r="C35" i="16" a="1"/>
  <c r="C35" i="16" s="1"/>
  <c r="D35" i="16" a="1"/>
  <c r="D35" i="16" s="1"/>
  <c r="E35" i="16" a="1"/>
  <c r="E35" i="16"/>
  <c r="E37" i="16" s="1"/>
  <c r="B35" i="16" a="1"/>
  <c r="B35" i="16" s="1"/>
  <c r="C34" i="16" a="1"/>
  <c r="C34" i="16" s="1"/>
  <c r="D34" i="16" a="1"/>
  <c r="D34" i="16"/>
  <c r="E34" i="16" a="1"/>
  <c r="E34" i="16" s="1"/>
  <c r="B34" i="16" a="1"/>
  <c r="B34" i="16" s="1"/>
  <c r="C33" i="16" a="1"/>
  <c r="C33" i="16" s="1"/>
  <c r="C37" i="16" s="1"/>
  <c r="D33" i="16" a="1"/>
  <c r="D33" i="16" s="1"/>
  <c r="D37" i="16" s="1"/>
  <c r="E33" i="16" a="1"/>
  <c r="E33" i="16" s="1"/>
  <c r="B33" i="16" a="1"/>
  <c r="B33" i="16" s="1"/>
  <c r="C28" i="16" a="1"/>
  <c r="C28" i="16" s="1"/>
  <c r="D28" i="16" a="1"/>
  <c r="D28" i="16" s="1"/>
  <c r="E28" i="16" a="1"/>
  <c r="E28" i="16" s="1"/>
  <c r="B28" i="16" a="1"/>
  <c r="B28" i="16" s="1"/>
  <c r="C27" i="16" a="1"/>
  <c r="C27" i="16" s="1"/>
  <c r="D27" i="16" a="1"/>
  <c r="D27" i="16" s="1"/>
  <c r="E27" i="16" a="1"/>
  <c r="E27" i="16"/>
  <c r="B27" i="16" a="1"/>
  <c r="B27" i="16" s="1"/>
  <c r="C26" i="16" a="1"/>
  <c r="C26" i="16" s="1"/>
  <c r="D26" i="16" a="1"/>
  <c r="D26" i="16" s="1"/>
  <c r="E26" i="16" a="1"/>
  <c r="E26" i="16" s="1"/>
  <c r="B26" i="16" a="1"/>
  <c r="B26" i="16" s="1"/>
  <c r="C25" i="16" a="1"/>
  <c r="C25" i="16" s="1"/>
  <c r="D25" i="16" a="1"/>
  <c r="D25" i="16" s="1"/>
  <c r="E25" i="16" a="1"/>
  <c r="E25" i="16" s="1"/>
  <c r="B25" i="16" a="1"/>
  <c r="B25" i="16" s="1"/>
  <c r="C19" i="16" a="1"/>
  <c r="C19" i="16" s="1"/>
  <c r="D19" i="16" a="1"/>
  <c r="D19" i="16" s="1"/>
  <c r="E19" i="16" a="1"/>
  <c r="E19" i="16" s="1"/>
  <c r="B19" i="16" a="1"/>
  <c r="B19" i="16" s="1"/>
  <c r="C18" i="16" a="1"/>
  <c r="C18" i="16" s="1"/>
  <c r="D18" i="16" a="1"/>
  <c r="D18" i="16" s="1"/>
  <c r="E18" i="16" a="1"/>
  <c r="E18" i="16" s="1"/>
  <c r="B18" i="16" a="1"/>
  <c r="B18" i="16" s="1"/>
  <c r="C17" i="16" a="1"/>
  <c r="C17" i="16" s="1"/>
  <c r="D17" i="16" a="1"/>
  <c r="D17" i="16" s="1"/>
  <c r="E17" i="16" a="1"/>
  <c r="E17" i="16" s="1"/>
  <c r="C16" i="16" a="1"/>
  <c r="C16" i="16" s="1"/>
  <c r="D16" i="16" a="1"/>
  <c r="D16" i="16" s="1"/>
  <c r="E16" i="16" a="1"/>
  <c r="E16" i="16" s="1"/>
  <c r="B16" i="16" a="1"/>
  <c r="B16" i="16" s="1"/>
  <c r="C15" i="16" a="1"/>
  <c r="C15" i="16" s="1"/>
  <c r="D15" i="16" a="1"/>
  <c r="D15" i="16" s="1"/>
  <c r="E15" i="16" a="1"/>
  <c r="E15" i="16" s="1"/>
  <c r="B15" i="16" a="1"/>
  <c r="B15" i="16" s="1"/>
  <c r="C10" i="16" a="1"/>
  <c r="C10" i="16" s="1"/>
  <c r="D10" i="16" a="1"/>
  <c r="D10" i="16" s="1"/>
  <c r="E10" i="16" a="1"/>
  <c r="E10" i="16" s="1"/>
  <c r="B10" i="16" a="1"/>
  <c r="B10" i="16" s="1"/>
  <c r="C8" i="16" a="1"/>
  <c r="C8" i="16" s="1"/>
  <c r="D8" i="16" a="1"/>
  <c r="D8" i="16" s="1"/>
  <c r="E8" i="16" a="1"/>
  <c r="E8" i="16" s="1"/>
  <c r="B8" i="16" a="1"/>
  <c r="B8" i="16" s="1"/>
  <c r="C7" i="16" a="1"/>
  <c r="C7" i="16" s="1"/>
  <c r="D7" i="16" a="1"/>
  <c r="D7" i="16" s="1"/>
  <c r="E7" i="16" a="1"/>
  <c r="E7" i="16" s="1"/>
  <c r="B7" i="16" a="1"/>
  <c r="B7" i="16" s="1"/>
  <c r="C6" i="16" a="1"/>
  <c r="C6" i="16" s="1"/>
  <c r="D6" i="16" a="1"/>
  <c r="D6" i="16" s="1"/>
  <c r="E6" i="16" a="1"/>
  <c r="E6" i="16" s="1"/>
  <c r="B6" i="16" a="1"/>
  <c r="B6" i="16" s="1"/>
  <c r="C6" i="15" a="1"/>
  <c r="C6" i="15" s="1"/>
  <c r="D6" i="15" a="1"/>
  <c r="D6" i="15" s="1"/>
  <c r="E6" i="15" a="1"/>
  <c r="E6" i="15" s="1"/>
  <c r="E7" i="15" a="1"/>
  <c r="E7" i="15" s="1"/>
  <c r="C13" i="15" a="1"/>
  <c r="C13" i="15" s="1"/>
  <c r="D13" i="15" a="1"/>
  <c r="D13" i="15" s="1"/>
  <c r="E13" i="15" a="1"/>
  <c r="E13" i="15" s="1"/>
  <c r="B13" i="15" a="1"/>
  <c r="B13" i="15" s="1"/>
  <c r="C12" i="15" a="1"/>
  <c r="C12" i="15" s="1"/>
  <c r="D12" i="15" a="1"/>
  <c r="D12" i="15" s="1"/>
  <c r="E12" i="15" a="1"/>
  <c r="E12" i="15" s="1"/>
  <c r="C7" i="15" a="1"/>
  <c r="C7" i="15" s="1"/>
  <c r="D7" i="15" a="1"/>
  <c r="D7" i="15" s="1"/>
  <c r="C46" i="4"/>
  <c r="C47" i="4" s="1"/>
  <c r="C48" i="4" s="1"/>
  <c r="C49" i="4" s="1"/>
  <c r="F40" i="4"/>
  <c r="G40" i="4" s="1"/>
  <c r="H40" i="4" s="1"/>
  <c r="E40" i="4"/>
  <c r="C31" i="4"/>
  <c r="F13" i="17" l="1"/>
  <c r="E96" i="2"/>
  <c r="F96" i="2" s="1"/>
  <c r="D96" i="2"/>
  <c r="H32" i="2"/>
  <c r="C13" i="17"/>
  <c r="D13" i="17"/>
  <c r="E18" i="17"/>
  <c r="F18" i="17"/>
  <c r="C18" i="17"/>
  <c r="D18" i="17"/>
  <c r="B29" i="16"/>
  <c r="B39" i="16" s="1"/>
  <c r="E29" i="16"/>
  <c r="E39" i="16" s="1"/>
  <c r="C29" i="16"/>
  <c r="C39" i="16" s="1"/>
  <c r="D29" i="16"/>
  <c r="D39" i="16" s="1"/>
  <c r="B20" i="16"/>
  <c r="C20" i="16"/>
  <c r="E20" i="16"/>
  <c r="D20" i="16"/>
  <c r="D11" i="16"/>
  <c r="B11" i="16"/>
  <c r="E11" i="16"/>
  <c r="C11" i="16"/>
  <c r="B8" i="15"/>
  <c r="B16" i="15" s="1"/>
  <c r="E8" i="15"/>
  <c r="E16" i="15" s="1"/>
  <c r="D8" i="15"/>
  <c r="D16" i="15" s="1"/>
  <c r="C8" i="15"/>
  <c r="C16" i="15" s="1"/>
  <c r="C43" i="4"/>
  <c r="C42" i="4" s="1"/>
  <c r="C41" i="4" s="1"/>
  <c r="C33" i="4"/>
  <c r="D31" i="4" s="1"/>
  <c r="G96" i="2" l="1"/>
  <c r="I32" i="2"/>
  <c r="D22" i="16"/>
  <c r="E22" i="16"/>
  <c r="B22" i="16"/>
  <c r="B49" i="16" s="1"/>
  <c r="C22" i="16"/>
  <c r="F6" i="17"/>
  <c r="F9" i="17" s="1"/>
  <c r="D6" i="17"/>
  <c r="D9" i="17" s="1"/>
  <c r="D20" i="17" s="1"/>
  <c r="C6" i="17"/>
  <c r="C9" i="17" s="1"/>
  <c r="C20" i="17" s="1"/>
  <c r="D32" i="4"/>
  <c r="D33" i="4" s="1"/>
  <c r="C24" i="3"/>
  <c r="C27" i="3" s="1"/>
  <c r="H96" i="2" l="1"/>
  <c r="J32" i="2"/>
  <c r="E6" i="17"/>
  <c r="E9" i="17" s="1"/>
  <c r="E20" i="17" s="1"/>
  <c r="I96" i="2" l="1"/>
  <c r="J96" i="2" l="1"/>
  <c r="G18" i="17" l="1"/>
  <c r="F20" i="16"/>
  <c r="F10" i="16"/>
  <c r="G8" i="3"/>
  <c r="G9" i="3" s="1"/>
  <c r="G7" i="17"/>
  <c r="E8" i="4" s="1"/>
  <c r="G10" i="3" l="1"/>
  <c r="F29" i="16"/>
  <c r="G13" i="17"/>
  <c r="E10" i="4"/>
  <c r="H18" i="17"/>
  <c r="H11" i="17"/>
  <c r="G20" i="16"/>
  <c r="H8" i="3"/>
  <c r="H9" i="3" s="1"/>
  <c r="F11" i="16"/>
  <c r="H7" i="17"/>
  <c r="F8" i="4" s="1"/>
  <c r="H17" i="3"/>
  <c r="G5" i="3" l="1"/>
  <c r="H10" i="3"/>
  <c r="H13" i="17"/>
  <c r="F10" i="4"/>
  <c r="I18" i="17"/>
  <c r="I11" i="17"/>
  <c r="G11" i="16"/>
  <c r="G29" i="16"/>
  <c r="H20" i="16"/>
  <c r="I8" i="3"/>
  <c r="I9" i="3" s="1"/>
  <c r="G8" i="17"/>
  <c r="E9" i="4" s="1"/>
  <c r="I7" i="17"/>
  <c r="G8" i="4" s="1"/>
  <c r="I17" i="3"/>
  <c r="F5" i="4" l="1"/>
  <c r="H18" i="3"/>
  <c r="H5" i="3"/>
  <c r="I10" i="3"/>
  <c r="J18" i="17"/>
  <c r="J11" i="17"/>
  <c r="I13" i="17"/>
  <c r="G10" i="4"/>
  <c r="H8" i="17"/>
  <c r="F9" i="4" s="1"/>
  <c r="H29" i="16"/>
  <c r="J8" i="3"/>
  <c r="J9" i="3" s="1"/>
  <c r="I20" i="16"/>
  <c r="H11" i="16"/>
  <c r="J7" i="17"/>
  <c r="H8" i="4" s="1"/>
  <c r="J17" i="3"/>
  <c r="J10" i="3" l="1"/>
  <c r="G5" i="4"/>
  <c r="I18" i="3"/>
  <c r="I5" i="3"/>
  <c r="I11" i="16"/>
  <c r="K18" i="17"/>
  <c r="K11" i="17"/>
  <c r="J13" i="17"/>
  <c r="H10" i="4"/>
  <c r="I8" i="17"/>
  <c r="G9" i="4" s="1"/>
  <c r="K8" i="3"/>
  <c r="K9" i="3" s="1"/>
  <c r="J20" i="16"/>
  <c r="I29" i="16"/>
  <c r="K7" i="17"/>
  <c r="I8" i="4" s="1"/>
  <c r="K17" i="3"/>
  <c r="F37" i="16"/>
  <c r="F39" i="16" s="1"/>
  <c r="J5" i="3" l="1"/>
  <c r="K10" i="3"/>
  <c r="H5" i="4"/>
  <c r="J18" i="3"/>
  <c r="F31" i="16"/>
  <c r="J8" i="17"/>
  <c r="H9" i="4" s="1"/>
  <c r="K13" i="17"/>
  <c r="I10" i="4"/>
  <c r="J29" i="16"/>
  <c r="J11" i="16"/>
  <c r="G37" i="16"/>
  <c r="H37" i="16"/>
  <c r="I37" i="16"/>
  <c r="J37" i="16"/>
  <c r="F18" i="15" l="1"/>
  <c r="D18" i="4" s="1"/>
  <c r="D20" i="4" s="1"/>
  <c r="D22" i="4" s="1"/>
  <c r="D35" i="4" s="1"/>
  <c r="K5" i="3"/>
  <c r="G39" i="16"/>
  <c r="I5" i="4"/>
  <c r="I6" i="4" s="1"/>
  <c r="I7" i="4" s="1"/>
  <c r="K18" i="3"/>
  <c r="F47" i="16"/>
  <c r="K8" i="17"/>
  <c r="I9" i="4" s="1"/>
  <c r="J39" i="16"/>
  <c r="I39" i="16"/>
  <c r="H39" i="16"/>
  <c r="F13" i="16"/>
  <c r="F22" i="16" s="1"/>
  <c r="F45" i="16"/>
  <c r="G26" i="3" l="1"/>
  <c r="G11" i="3"/>
  <c r="G25" i="3" s="1"/>
  <c r="G14" i="3"/>
  <c r="I11" i="4"/>
  <c r="I20" i="4" s="1"/>
  <c r="I21" i="4" s="1"/>
  <c r="I22" i="4" s="1"/>
  <c r="F49" i="16"/>
  <c r="G31" i="16"/>
  <c r="G18" i="15" s="1"/>
  <c r="G21" i="15" s="1"/>
  <c r="G22" i="15" s="1"/>
  <c r="G23" i="15" s="1"/>
  <c r="H31" i="16"/>
  <c r="H18" i="15" s="1"/>
  <c r="H21" i="15" s="1"/>
  <c r="H22" i="15" s="1"/>
  <c r="H23" i="15" s="1"/>
  <c r="I31" i="16"/>
  <c r="I18" i="15" s="1"/>
  <c r="I21" i="15" s="1"/>
  <c r="I22" i="15" s="1"/>
  <c r="I23" i="15" s="1"/>
  <c r="G45" i="16"/>
  <c r="G13" i="16" s="1"/>
  <c r="G22" i="16" s="1"/>
  <c r="H45" i="16"/>
  <c r="H13" i="16" s="1"/>
  <c r="H22" i="16" s="1"/>
  <c r="I45" i="16"/>
  <c r="I26" i="3" l="1"/>
  <c r="I11" i="3"/>
  <c r="I25" i="3" s="1"/>
  <c r="I14" i="3"/>
  <c r="H26" i="3"/>
  <c r="H11" i="3"/>
  <c r="H25" i="3" s="1"/>
  <c r="H14" i="3"/>
  <c r="G47" i="16"/>
  <c r="G49" i="16" s="1"/>
  <c r="I47" i="16"/>
  <c r="H47" i="16"/>
  <c r="H49" i="16" s="1"/>
  <c r="I13" i="16"/>
  <c r="I22" i="16" s="1"/>
  <c r="J45" i="16"/>
  <c r="J31" i="16" s="1"/>
  <c r="J18" i="15" s="1"/>
  <c r="J21" i="15" s="1"/>
  <c r="J22" i="15" s="1"/>
  <c r="J23" i="15" s="1"/>
  <c r="J26" i="3" l="1"/>
  <c r="J11" i="3"/>
  <c r="J25" i="3" s="1"/>
  <c r="J14" i="3"/>
  <c r="I49" i="16"/>
  <c r="J47" i="16"/>
  <c r="J13" i="16"/>
  <c r="J22" i="16" s="1"/>
  <c r="J49" i="16" l="1"/>
  <c r="K26" i="3"/>
  <c r="K11" i="3"/>
  <c r="K25" i="3" s="1"/>
  <c r="K14" i="3"/>
  <c r="F6" i="4" l="1"/>
  <c r="F7" i="4" s="1"/>
  <c r="F11" i="4" s="1"/>
  <c r="G6" i="4"/>
  <c r="G7" i="4" s="1"/>
  <c r="G11" i="4" s="1"/>
  <c r="H6" i="4"/>
  <c r="H7" i="4" s="1"/>
  <c r="H11" i="4" s="1"/>
  <c r="H12" i="4" l="1"/>
  <c r="I12" i="4"/>
  <c r="G12" i="4"/>
  <c r="K20" i="3" l="1"/>
  <c r="K6" i="17"/>
  <c r="K9" i="17" s="1"/>
  <c r="K20" i="17" s="1"/>
  <c r="K19" i="3"/>
  <c r="K24" i="3" s="1"/>
  <c r="K27" i="3" s="1"/>
  <c r="K21" i="3"/>
  <c r="H20" i="3"/>
  <c r="H6" i="17"/>
  <c r="H9" i="17" s="1"/>
  <c r="H20" i="17" s="1"/>
  <c r="H19" i="3"/>
  <c r="H24" i="3" s="1"/>
  <c r="H27" i="3" s="1"/>
  <c r="H21" i="3"/>
  <c r="I20" i="3"/>
  <c r="I6" i="17"/>
  <c r="I9" i="17" s="1"/>
  <c r="I20" i="17" s="1"/>
  <c r="I19" i="3"/>
  <c r="I24" i="3" s="1"/>
  <c r="I27" i="3" s="1"/>
  <c r="I21" i="3"/>
  <c r="J20" i="3"/>
  <c r="J6" i="17"/>
  <c r="J9" i="17" s="1"/>
  <c r="J20" i="17" s="1"/>
  <c r="J19" i="3"/>
  <c r="J24" i="3" s="1"/>
  <c r="J27" i="3" s="1"/>
  <c r="J21" i="3"/>
  <c r="F8" i="15"/>
  <c r="F16" i="15" s="1"/>
  <c r="F21" i="15" l="1"/>
  <c r="F22" i="15" s="1"/>
  <c r="E5" i="4"/>
  <c r="G18" i="3"/>
  <c r="G17" i="3"/>
  <c r="E6" i="4" l="1"/>
  <c r="E7" i="4" s="1"/>
  <c r="E11" i="4" s="1"/>
  <c r="F23" i="15"/>
  <c r="G6" i="17" l="1"/>
  <c r="G9" i="17" s="1"/>
  <c r="G20" i="17" s="1"/>
  <c r="G21" i="3"/>
  <c r="G20" i="3"/>
  <c r="G19" i="3"/>
  <c r="G24" i="3" s="1"/>
  <c r="G27" i="3" s="1"/>
  <c r="I17" i="4"/>
  <c r="I23" i="4" s="1"/>
  <c r="I25" i="4" s="1"/>
  <c r="I28" i="4" s="1"/>
  <c r="F12" i="4"/>
  <c r="I30" i="4" l="1"/>
  <c r="C4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0307E9-4EB8-5A43-BF5C-BF9BCBDD107E}" keepAlive="1" name="Query - do that for me - do that for me" description="Connection to the 'do that for me - do that for me' query in the workbook." type="5" refreshedVersion="0" background="1" saveData="1">
    <dbPr connection="Provider=Microsoft.Mashup.OleDb.1;Data Source=$Workbook$;Location=&quot;do that for me - do that for me&quot;;Extended Properties=&quot;&quot;" command="SELECT * FROM [do that for me - do that for me]"/>
  </connection>
  <connection id="2" xr16:uid="{F95C9B5B-689B-C449-9766-C3E825E2DBCA}" keepAlive="1" name="Query - financial_data" description="Connection to the 'financial_data' query in the workbook." type="5" refreshedVersion="0" background="1" saveData="1">
    <dbPr connection="Provider=Microsoft.Mashup.OleDb.1;Data Source=$Workbook$;Location=financial_data;Extended Properties=&quot;&quot;" command="SELECT * FROM [financial_data]"/>
  </connection>
  <connection id="3" xr16:uid="{FB2BF080-7EB1-284D-A0CA-54719FBF9FA1}" keepAlive="1" name="Query - financial_data_cash_flow" description="Connection to the 'financial_data_cash_flow' query in the workbook." type="5" refreshedVersion="0" background="1" saveData="1">
    <dbPr connection="Provider=Microsoft.Mashup.OleDb.1;Data Source=$Workbook$;Location=financial_data_cash_flow;Extended Properties=&quot;&quot;" command="SELECT * FROM [financial_data_cash_flow]"/>
  </connection>
  <connection id="4" xr16:uid="{C3E0B9F1-D029-9045-9F0D-E5D0C8423DD6}" keepAlive="1" name="Query - organized_financials_dates_on_top" description="Connection to the 'organized_financials_dates_on_top' query in the workbook." type="5" refreshedVersion="0" background="1" saveData="1">
    <dbPr connection="Provider=Microsoft.Mashup.OleDb.1;Data Source=$Workbook$;Location=organized_financials_dates_on_top;Extended Properties=&quot;&quot;" command="SELECT * FROM [organized_financials_dates_on_top]"/>
  </connection>
  <connection id="5" xr16:uid="{9F0E8213-38A1-824A-9882-D67BA550ABBA}" keepAlive="1" name="Query - organized_financials_dates_on_top (2)" description="Connection to the 'organized_financials_dates_on_top (2)' query in the workbook." type="5" refreshedVersion="0" background="1" saveData="1">
    <dbPr connection="Provider=Microsoft.Mashup.OleDb.1;Data Source=$Workbook$;Location=&quot;organized_financials_dates_on_top (2)&quot;;Extended Properties=&quot;&quot;" command="SELECT * FROM [organized_financials_dates_on_top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<sst xmlns="http://schemas.openxmlformats.org/spreadsheetml/2006/main" count="634" uniqueCount="322">
  <si>
    <t>2021A</t>
  </si>
  <si>
    <t>2022A</t>
  </si>
  <si>
    <t>2023A</t>
  </si>
  <si>
    <t>2024A</t>
  </si>
  <si>
    <t>2026E</t>
  </si>
  <si>
    <t>2027E</t>
  </si>
  <si>
    <t>2028E</t>
  </si>
  <si>
    <t>2029E</t>
  </si>
  <si>
    <t>Gross Profit</t>
  </si>
  <si>
    <t>Interest Expense</t>
  </si>
  <si>
    <t>Interest And Investment Income</t>
  </si>
  <si>
    <t>EBT</t>
  </si>
  <si>
    <t>Income Tax Expense</t>
  </si>
  <si>
    <t>Net Income</t>
  </si>
  <si>
    <t>Total Cash &amp; ST Investments</t>
  </si>
  <si>
    <t>Total Receivables</t>
  </si>
  <si>
    <t>Inventory</t>
  </si>
  <si>
    <t>Change in NCWC</t>
  </si>
  <si>
    <t>Prepaid Expenses</t>
  </si>
  <si>
    <t>Total Current Assets</t>
  </si>
  <si>
    <t>Surplus Cash</t>
  </si>
  <si>
    <t>Net Property, Plant &amp; Equipment</t>
  </si>
  <si>
    <t>Long-Term Investments</t>
  </si>
  <si>
    <t>Goodwill</t>
  </si>
  <si>
    <t>Other Long-Term Assets</t>
  </si>
  <si>
    <t>Total Long Term Assets</t>
  </si>
  <si>
    <t>Total Assets</t>
  </si>
  <si>
    <t>Accounts Payable</t>
  </si>
  <si>
    <t>Accrued Expenses</t>
  </si>
  <si>
    <t>Other Current Liabilities</t>
  </si>
  <si>
    <t>Total Current Liabilities</t>
  </si>
  <si>
    <t>Additional Financing Needed</t>
  </si>
  <si>
    <t>Long-Term Debt</t>
  </si>
  <si>
    <t>Total Long-Term Liabilities</t>
  </si>
  <si>
    <t>Check</t>
  </si>
  <si>
    <t>CASH FLOW STATEMENT</t>
  </si>
  <si>
    <t>Depreciation</t>
  </si>
  <si>
    <t>Cash Flow from Operating Activities</t>
  </si>
  <si>
    <t>Capital Expenditures</t>
  </si>
  <si>
    <t>Cash Flow from Investing Activities</t>
  </si>
  <si>
    <t>Cash Flow from Financing Activities</t>
  </si>
  <si>
    <t>Revenue Growth Rate</t>
  </si>
  <si>
    <t>COGS/Sales</t>
  </si>
  <si>
    <t>SG&amp;A/Sales</t>
  </si>
  <si>
    <t>Interest Rate Earned on Surplus Cash</t>
  </si>
  <si>
    <t xml:space="preserve">Interest Rate Paid on Additional financing </t>
  </si>
  <si>
    <t>AR/Sales</t>
  </si>
  <si>
    <t>Inventory/Sales</t>
  </si>
  <si>
    <t>Net PPE/Sales</t>
  </si>
  <si>
    <t>Payables/Sales</t>
  </si>
  <si>
    <t>Accruals/Sales</t>
  </si>
  <si>
    <t>Other Current Liabilities/Sales</t>
  </si>
  <si>
    <t>Ratio Analysis</t>
  </si>
  <si>
    <t>Current ratio</t>
  </si>
  <si>
    <t>Receivables turnover</t>
  </si>
  <si>
    <t>Average Receivables Collection Period</t>
  </si>
  <si>
    <t>Fixed asset turnover</t>
  </si>
  <si>
    <t>Total asset turnover</t>
  </si>
  <si>
    <t>Debt Ratio</t>
  </si>
  <si>
    <t>Gross margin</t>
  </si>
  <si>
    <t>Operating margin</t>
  </si>
  <si>
    <t>Profit margin on sales</t>
  </si>
  <si>
    <t>Return on assets</t>
  </si>
  <si>
    <t>Return on equity</t>
  </si>
  <si>
    <t>Dupont Analysis</t>
  </si>
  <si>
    <t>Profit Margin on Sales</t>
  </si>
  <si>
    <t>Total Asset Turnover</t>
  </si>
  <si>
    <t xml:space="preserve">Equity Multiplier </t>
  </si>
  <si>
    <t>ROE</t>
  </si>
  <si>
    <t xml:space="preserve">Terminal Value </t>
  </si>
  <si>
    <t>Estimated Share Price</t>
  </si>
  <si>
    <t xml:space="preserve">Beta </t>
  </si>
  <si>
    <t>D%A</t>
  </si>
  <si>
    <t>Depreciation and Amortization</t>
  </si>
  <si>
    <t>CapEx % of Revenue</t>
  </si>
  <si>
    <t>Dividend Payout Ratio</t>
  </si>
  <si>
    <t>Net Change in Cash</t>
  </si>
  <si>
    <t>Free Cash Flow Build</t>
  </si>
  <si>
    <t>($ in millions)</t>
  </si>
  <si>
    <t>EBIT</t>
  </si>
  <si>
    <t>Taxes</t>
  </si>
  <si>
    <t>NOPAT</t>
  </si>
  <si>
    <t>D&amp;A</t>
  </si>
  <si>
    <t>Capex</t>
  </si>
  <si>
    <t>Free Cash Flow to Firm (FCFF)</t>
  </si>
  <si>
    <t xml:space="preserve">FCFF Growth Rate </t>
  </si>
  <si>
    <t>NCWC</t>
  </si>
  <si>
    <t xml:space="preserve">WACC Calculation </t>
  </si>
  <si>
    <t xml:space="preserve">Cost of Debt Calculation </t>
  </si>
  <si>
    <t xml:space="preserve">Total Debt </t>
  </si>
  <si>
    <t>Pre-Tax Cost of Debt</t>
  </si>
  <si>
    <t xml:space="preserve">Effective Tax Rate </t>
  </si>
  <si>
    <t xml:space="preserve">After-Tax Cost of Debt </t>
  </si>
  <si>
    <t>Risk Free Rate (rf)</t>
  </si>
  <si>
    <t>Cost of Equity</t>
  </si>
  <si>
    <t>Capital Asset Pricing Model (CAPM)</t>
  </si>
  <si>
    <t>Debt + Equity Weights</t>
  </si>
  <si>
    <t>Total Debt Balance</t>
  </si>
  <si>
    <t xml:space="preserve">Market Value of Equity </t>
  </si>
  <si>
    <t>($)</t>
  </si>
  <si>
    <t xml:space="preserve">Total Capitalization </t>
  </si>
  <si>
    <t>(%)</t>
  </si>
  <si>
    <t>WACC</t>
  </si>
  <si>
    <t>DCF Valuation</t>
  </si>
  <si>
    <t>Sum of Projected FCFF</t>
  </si>
  <si>
    <t xml:space="preserve">Terminal Growth Rate </t>
  </si>
  <si>
    <t xml:space="preserve">2030 FCFF </t>
  </si>
  <si>
    <t xml:space="preserve">PV Terminal Value </t>
  </si>
  <si>
    <t xml:space="preserve">Years Forecasted </t>
  </si>
  <si>
    <t xml:space="preserve">Total Enterprise Value </t>
  </si>
  <si>
    <t>Net Debt</t>
  </si>
  <si>
    <t>Equity Value</t>
  </si>
  <si>
    <t xml:space="preserve">Shares Outstanding </t>
  </si>
  <si>
    <t>Forecasted Assumptions</t>
  </si>
  <si>
    <t>Income Statement</t>
  </si>
  <si>
    <t xml:space="preserve">Balance Sheet </t>
  </si>
  <si>
    <t xml:space="preserve">Cash Flow Statement </t>
  </si>
  <si>
    <t>Liquidity</t>
  </si>
  <si>
    <t>Activity</t>
  </si>
  <si>
    <t>Debt Management</t>
  </si>
  <si>
    <t>Profitability</t>
  </si>
  <si>
    <t>X</t>
  </si>
  <si>
    <t>Sensitivity Analysis</t>
  </si>
  <si>
    <t>Terminal Growth Rate</t>
  </si>
  <si>
    <t>Revenue</t>
  </si>
  <si>
    <t>Operating Expenses</t>
  </si>
  <si>
    <t>Operating Income</t>
  </si>
  <si>
    <t>Other Current Assets</t>
  </si>
  <si>
    <t>Long Term Debt</t>
  </si>
  <si>
    <t>Total Liabilities</t>
  </si>
  <si>
    <t>Retained Earnings (Accumulated Deficit)</t>
  </si>
  <si>
    <t>Other Non-Cash Items</t>
  </si>
  <si>
    <r>
      <t>Balance Sheet</t>
    </r>
    <r>
      <rPr>
        <sz val="12"/>
        <color rgb="FF424858"/>
        <rFont val="Helvetica"/>
        <family val="2"/>
      </rPr>
      <t>QUARTERLYANNUAL</t>
    </r>
  </si>
  <si>
    <r>
      <t>2024</t>
    </r>
    <r>
      <rPr>
        <sz val="12"/>
        <color rgb="FF333333"/>
        <rFont val="Helvetica"/>
        <family val="2"/>
      </rPr>
      <t xml:space="preserve"> 09/28/2024</t>
    </r>
  </si>
  <si>
    <r>
      <t>2023</t>
    </r>
    <r>
      <rPr>
        <sz val="12"/>
        <color rgb="FF333333"/>
        <rFont val="Helvetica"/>
        <family val="2"/>
      </rPr>
      <t xml:space="preserve"> 09/30/2023</t>
    </r>
  </si>
  <si>
    <r>
      <t>2022</t>
    </r>
    <r>
      <rPr>
        <sz val="12"/>
        <color rgb="FF333333"/>
        <rFont val="Helvetica"/>
        <family val="2"/>
      </rPr>
      <t xml:space="preserve"> 10/01/2022</t>
    </r>
  </si>
  <si>
    <r>
      <t>2021</t>
    </r>
    <r>
      <rPr>
        <sz val="12"/>
        <color rgb="FF333333"/>
        <rFont val="Helvetica"/>
        <family val="2"/>
      </rPr>
      <t xml:space="preserve"> 10/02/2021</t>
    </r>
  </si>
  <si>
    <t>ASSETS</t>
  </si>
  <si>
    <t>Cash and Short Term Investments</t>
  </si>
  <si>
    <t>Cash</t>
  </si>
  <si>
    <t>--</t>
  </si>
  <si>
    <t>Cash &amp; Equivalents</t>
  </si>
  <si>
    <t>Short Term Investments</t>
  </si>
  <si>
    <t>Accounts Receivable - Trade, Net</t>
  </si>
  <si>
    <t>Accounts Receivable - Trade, Gross</t>
  </si>
  <si>
    <t>Total Receivables, Net</t>
  </si>
  <si>
    <t>Receivables - Other</t>
  </si>
  <si>
    <t>Total Inventory</t>
  </si>
  <si>
    <t>Inventories - Finished Goods</t>
  </si>
  <si>
    <t>Inventories - Work In Progress</t>
  </si>
  <si>
    <t>Other Current Assets, Total</t>
  </si>
  <si>
    <t>Restricted Cash - Current</t>
  </si>
  <si>
    <t>Property/Plant/Equipment, Total - Gross</t>
  </si>
  <si>
    <t>Buildings - Gross</t>
  </si>
  <si>
    <t>Land/Improvements - Gross</t>
  </si>
  <si>
    <t>Machinery/Equipment - Gross</t>
  </si>
  <si>
    <t>Other Property/Plant/Equipment - Gross</t>
  </si>
  <si>
    <t>Property/Plant/Equipment, Total - Net</t>
  </si>
  <si>
    <t>Accumulated Depreciation, Total</t>
  </si>
  <si>
    <t>Goodwill, Net</t>
  </si>
  <si>
    <t>Intangibles, Net</t>
  </si>
  <si>
    <t>Long Term Investments</t>
  </si>
  <si>
    <t>LT Investments - Other</t>
  </si>
  <si>
    <t>Note Receivable - Long Term</t>
  </si>
  <si>
    <t>Other Long Term Assets, Total</t>
  </si>
  <si>
    <t>Restricted Cash - Long Term</t>
  </si>
  <si>
    <t>Other Long Term Assets</t>
  </si>
  <si>
    <t>LIABILITIES</t>
  </si>
  <si>
    <t>Payable/Accrued</t>
  </si>
  <si>
    <t>Notes Payable/Short Term Debt</t>
  </si>
  <si>
    <t>Current Port. of LT Debt/Capital Leases</t>
  </si>
  <si>
    <t>Other Current liabilities, Total</t>
  </si>
  <si>
    <t>Customer Advances</t>
  </si>
  <si>
    <t>Total Long Term Debt</t>
  </si>
  <si>
    <t>Capital Lease Obligations</t>
  </si>
  <si>
    <t>Total Debt</t>
  </si>
  <si>
    <t>Deferred Income Tax</t>
  </si>
  <si>
    <t>Minority Interest</t>
  </si>
  <si>
    <t>Other Liabilities, Total</t>
  </si>
  <si>
    <t>Other Long Term Liabilities</t>
  </si>
  <si>
    <t>SHAREHOLDERS EQUITY</t>
  </si>
  <si>
    <t>Redeemable Preferred Stock, Total</t>
  </si>
  <si>
    <t>Preferred Stock - Non Redeemable, Net</t>
  </si>
  <si>
    <t>Common Stock, Total</t>
  </si>
  <si>
    <t>Common Stock</t>
  </si>
  <si>
    <t>Additional Paid-In Capital</t>
  </si>
  <si>
    <t>Treasury Stock - Common</t>
  </si>
  <si>
    <t>ESOP Debt Guarantee</t>
  </si>
  <si>
    <t>Unrealized Gain (Loss)</t>
  </si>
  <si>
    <t>Other Equity, Total</t>
  </si>
  <si>
    <t>Translation Adjustment</t>
  </si>
  <si>
    <t>Other Comprehensive Income</t>
  </si>
  <si>
    <t>Total Equity</t>
  </si>
  <si>
    <t>Total Liabilities &amp; Shareholders’ Equity</t>
  </si>
  <si>
    <t>Net Sales</t>
  </si>
  <si>
    <t>Other Revenue, Total</t>
  </si>
  <si>
    <t>Total Revenue</t>
  </si>
  <si>
    <t>Cost of Revenue, Total</t>
  </si>
  <si>
    <t>Cost of Revenue</t>
  </si>
  <si>
    <t>Selling/General/Admin. Expenses, Total</t>
  </si>
  <si>
    <t>Selling/General/Administrative Expense</t>
  </si>
  <si>
    <t>Research &amp; Development</t>
  </si>
  <si>
    <t>Depreciation/Amortization</t>
  </si>
  <si>
    <t>Interest Expense, Net - Operating</t>
  </si>
  <si>
    <t>Interest/Investment Income - Operating</t>
  </si>
  <si>
    <t>Interest Expense(Income) - Net Operating</t>
  </si>
  <si>
    <t>Interest Exp.(Inc.),Net-Operating, Total</t>
  </si>
  <si>
    <t>Unusual Expense (Income)</t>
  </si>
  <si>
    <t>Other Operating Expenses, Total</t>
  </si>
  <si>
    <t>Total Operating Expense</t>
  </si>
  <si>
    <t>Interest Expense, Net Non-Operating</t>
  </si>
  <si>
    <t>Interest Expense - Non-Operating</t>
  </si>
  <si>
    <t>Interest/Invest Income - Non-Operating</t>
  </si>
  <si>
    <t>Interest Income - Non-Operating</t>
  </si>
  <si>
    <t>Interest Income(Exp), Net Non-Operating</t>
  </si>
  <si>
    <t>Interest Inc.(Exp.),Net-Non-Op., Total</t>
  </si>
  <si>
    <t>Gain (Loss) on Sale of Assets</t>
  </si>
  <si>
    <t>Other, Net</t>
  </si>
  <si>
    <t>Other Non-Operating Income (Expense)</t>
  </si>
  <si>
    <t>Net Income Before Taxes</t>
  </si>
  <si>
    <t>Provision for Income Taxes</t>
  </si>
  <si>
    <t>Net Income After Taxes</t>
  </si>
  <si>
    <t>Equity In Affiliates</t>
  </si>
  <si>
    <t>U.S. GAAP Adjustment</t>
  </si>
  <si>
    <t>Net Income Before Extra. Items</t>
  </si>
  <si>
    <t>Accounting Change</t>
  </si>
  <si>
    <t>Discontinued Operations</t>
  </si>
  <si>
    <t>Extraordinary Item</t>
  </si>
  <si>
    <t>Tax on Extraordinary Items</t>
  </si>
  <si>
    <t>Total Extraordinary Items</t>
  </si>
  <si>
    <t>Preferred Dividends</t>
  </si>
  <si>
    <t>General Partners’ Distributions</t>
  </si>
  <si>
    <t>Miscellaneous Earnings Adjustment</t>
  </si>
  <si>
    <t>Pro Forma Adjustment</t>
  </si>
  <si>
    <t>Interest Adjustment - Primary EPS</t>
  </si>
  <si>
    <t>Total Adjustments to Net Income</t>
  </si>
  <si>
    <t>Income Available to Com Excl ExtraOrd</t>
  </si>
  <si>
    <t>Income Available to Com Incl ExtraOrd</t>
  </si>
  <si>
    <t>Basic Weighted Average Shares</t>
  </si>
  <si>
    <t>Basic EPS Excluding Extraordinary Items</t>
  </si>
  <si>
    <t>Basic EPS Including Extraordinary Items</t>
  </si>
  <si>
    <t>Dilution Adjustment</t>
  </si>
  <si>
    <t>Diluted Net Income</t>
  </si>
  <si>
    <t>Diluted Weighted Average Shares</t>
  </si>
  <si>
    <t>Diluted EPS Excluding ExtraOrd Items</t>
  </si>
  <si>
    <t>Diluted EPS Including ExtraOrd Items</t>
  </si>
  <si>
    <r>
      <t>Cash Flow</t>
    </r>
    <r>
      <rPr>
        <sz val="12"/>
        <color rgb="FF424858"/>
        <rFont val="Helvetica"/>
        <family val="2"/>
      </rPr>
      <t>QUARTERLYANNUAL</t>
    </r>
  </si>
  <si>
    <t>OPERATING ACTIVITIES</t>
  </si>
  <si>
    <t>Net Income/Starting Line</t>
  </si>
  <si>
    <t>Depreciation/Depletion</t>
  </si>
  <si>
    <t>Amortization</t>
  </si>
  <si>
    <t>Deferred Taxes</t>
  </si>
  <si>
    <t>Non-Cash Items</t>
  </si>
  <si>
    <t>Changes in Working Capital</t>
  </si>
  <si>
    <t>Accounts Receivable</t>
  </si>
  <si>
    <t>Inventories</t>
  </si>
  <si>
    <t>Other Assets</t>
  </si>
  <si>
    <t>Other Liabilities</t>
  </si>
  <si>
    <t>Cash from Operating Activities</t>
  </si>
  <si>
    <t>INVESTING</t>
  </si>
  <si>
    <t>Purchase of Fixed Assets</t>
  </si>
  <si>
    <t>Other Investing Cash Flow Items, Total</t>
  </si>
  <si>
    <t>Acquisition of Business</t>
  </si>
  <si>
    <t>Sale/Maturity of Investment</t>
  </si>
  <si>
    <t>Purchase of Investments</t>
  </si>
  <si>
    <t>Other Investing Cash Flow</t>
  </si>
  <si>
    <t>Cash from Investing Activities</t>
  </si>
  <si>
    <t>FINANCING</t>
  </si>
  <si>
    <t>Financing Cash Flow Items</t>
  </si>
  <si>
    <t>Other Financing Cash Flow</t>
  </si>
  <si>
    <t>Total Cash Dividends Paid</t>
  </si>
  <si>
    <t>Cash Dividends Paid - Common</t>
  </si>
  <si>
    <t>Issuance (Retirement) of Stock, Net</t>
  </si>
  <si>
    <t>Sale/Issuance of Common</t>
  </si>
  <si>
    <t>Repurchase/Retirement of Common</t>
  </si>
  <si>
    <t>Common Stock, Net</t>
  </si>
  <si>
    <t>Issuance (Retirement) of Debt, Net</t>
  </si>
  <si>
    <t>Short Term Debt Issued</t>
  </si>
  <si>
    <t>Short Term Debt, Net</t>
  </si>
  <si>
    <t>Long Term Debt Reduction</t>
  </si>
  <si>
    <t>Long Term Debt, Net</t>
  </si>
  <si>
    <t>Total Debt Reduction</t>
  </si>
  <si>
    <t>Cash from Financing Activities</t>
  </si>
  <si>
    <t>Foreign Exchange Effects</t>
  </si>
  <si>
    <t>Cash Interest Paid</t>
  </si>
  <si>
    <t>Cash Taxes Paid</t>
  </si>
  <si>
    <t xml:space="preserve">Revenues </t>
  </si>
  <si>
    <t>Cost of Goods Sold</t>
  </si>
  <si>
    <t>2025E</t>
  </si>
  <si>
    <t xml:space="preserve">3 Statement Model - Income </t>
  </si>
  <si>
    <t>3 Statement Model - Balance</t>
  </si>
  <si>
    <t>Balance Sheet</t>
  </si>
  <si>
    <t>Intangibles</t>
  </si>
  <si>
    <t>Current Portion of LT Debt/Capital Leases</t>
  </si>
  <si>
    <t>Other Total Liabilities</t>
  </si>
  <si>
    <t xml:space="preserve">Common Stock </t>
  </si>
  <si>
    <t xml:space="preserve">Other Total Equity </t>
  </si>
  <si>
    <t>Retained Earnings</t>
  </si>
  <si>
    <t>Total Liabilities &amp; Shareholders' Equity</t>
  </si>
  <si>
    <t xml:space="preserve">Total Shareholders' Equity </t>
  </si>
  <si>
    <t>Selling General &amp; Admin</t>
  </si>
  <si>
    <t>Depreciation &amp; Amortization</t>
  </si>
  <si>
    <t>Other Operating Expenses</t>
  </si>
  <si>
    <t xml:space="preserve">Other Non Operating Income </t>
  </si>
  <si>
    <t>Other Total Investing Cash Flow Items</t>
  </si>
  <si>
    <t xml:space="preserve">Total Cash Dividends Paid </t>
  </si>
  <si>
    <t>3 Statement Model - Cash Flow</t>
  </si>
  <si>
    <t xml:space="preserve">Net Income </t>
  </si>
  <si>
    <t>Expected Return, Market (rM)</t>
  </si>
  <si>
    <t>Current Stock Price</t>
  </si>
  <si>
    <t>Updside/Downside</t>
  </si>
  <si>
    <t>Estimated Price</t>
  </si>
  <si>
    <t>N/A</t>
  </si>
  <si>
    <t>Base (1)</t>
  </si>
  <si>
    <t>Bear (2)</t>
  </si>
  <si>
    <t>Bull (3)</t>
  </si>
  <si>
    <t>`</t>
  </si>
  <si>
    <t>Tax Rate</t>
  </si>
  <si>
    <t>-</t>
  </si>
  <si>
    <t>Case Toggle</t>
  </si>
  <si>
    <t>(1 --&gt; 3):</t>
  </si>
  <si>
    <t>Active Case: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</si>
</sst>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.00"/>
    <numFmt numFmtId="167" formatCode="0.0%"/>
    <numFmt numFmtId="168" formatCode="&quot;$&quot;#,##0"/>
    <numFmt numFmtId="169" formatCode="_(* #,##0_);_(&quot;$&quot;* \(#,##0\);_(&quot;$&quot;* &quot;-&quot;??_);_(@_)"/>
    <numFmt numFmtId="170" formatCode="_(#,##0_);_(\(#,##0\);_(&quot;-&quot;??_);_(@_)"/>
  </numFmts>
  <fonts count="4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u/>
      <sz val="12"/>
      <color rgb="FF000000"/>
      <name val="Calibri"/>
      <family val="2"/>
    </font>
    <font>
      <u/>
      <sz val="12"/>
      <color rgb="FF0563C1"/>
      <name val="Calibri"/>
      <family val="2"/>
    </font>
    <font>
      <sz val="12"/>
      <color rgb="FF000000"/>
      <name val="Times New Roman"/>
      <family val="1"/>
    </font>
    <font>
      <b/>
      <sz val="12"/>
      <color rgb="FF273540"/>
      <name val="Times New Roman"/>
      <family val="1"/>
    </font>
    <font>
      <sz val="12"/>
      <color rgb="FF273540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424858"/>
      <name val="Helvetica"/>
      <family val="2"/>
    </font>
    <font>
      <sz val="16"/>
      <color rgb="FF424858"/>
      <name val="Helvetica"/>
      <family val="2"/>
    </font>
    <font>
      <sz val="12"/>
      <color rgb="FF333333"/>
      <name val="Helvetica"/>
      <family val="2"/>
    </font>
    <font>
      <sz val="12"/>
      <color rgb="FF999999"/>
      <name val="Helvetica"/>
      <family val="2"/>
    </font>
    <font>
      <b/>
      <sz val="12"/>
      <color rgb="FF000000"/>
      <name val="Helvetica"/>
      <family val="2"/>
    </font>
    <font>
      <b/>
      <sz val="12"/>
      <color rgb="FF333333"/>
      <name val="Helvetica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3"/>
      <color rgb="FF27AE60"/>
      <name val="Courier New"/>
      <family val="1"/>
    </font>
    <font>
      <sz val="12"/>
      <color theme="1" tint="0.249977111117893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73763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073763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theme="0"/>
      </patternFill>
    </fill>
    <fill>
      <patternFill patternType="solid">
        <fgColor theme="5" tint="0.59999389629810485"/>
        <bgColor theme="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44" fontId="22" fillId="0" borderId="0" applyFont="0" applyFill="0" applyBorder="0" applyAlignment="0" applyProtection="0"/>
  </cellStyleXfs>
  <cellXfs count="250">
    <xf numFmtId="0" fontId="0" fillId="0" borderId="0" xfId="0"/>
    <xf numFmtId="17" fontId="6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10" fillId="0" borderId="0" xfId="0" applyFont="1"/>
    <xf numFmtId="164" fontId="12" fillId="0" borderId="0" xfId="0" applyNumberFormat="1" applyFont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0" xfId="0" applyFont="1" applyFill="1"/>
    <xf numFmtId="167" fontId="6" fillId="0" borderId="0" xfId="0" applyNumberFormat="1" applyFont="1"/>
    <xf numFmtId="0" fontId="16" fillId="3" borderId="2" xfId="0" applyFont="1" applyFill="1" applyBorder="1"/>
    <xf numFmtId="0" fontId="17" fillId="3" borderId="2" xfId="0" applyFont="1" applyFill="1" applyBorder="1"/>
    <xf numFmtId="0" fontId="6" fillId="3" borderId="4" xfId="0" applyFont="1" applyFill="1" applyBorder="1"/>
    <xf numFmtId="0" fontId="6" fillId="3" borderId="3" xfId="0" applyFont="1" applyFill="1" applyBorder="1"/>
    <xf numFmtId="0" fontId="6" fillId="3" borderId="5" xfId="0" applyFont="1" applyFill="1" applyBorder="1"/>
    <xf numFmtId="0" fontId="6" fillId="0" borderId="0" xfId="0" applyFont="1"/>
    <xf numFmtId="2" fontId="6" fillId="0" borderId="0" xfId="0" applyNumberFormat="1" applyFont="1"/>
    <xf numFmtId="0" fontId="12" fillId="0" borderId="0" xfId="0" applyFont="1"/>
    <xf numFmtId="17" fontId="12" fillId="0" borderId="0" xfId="0" applyNumberFormat="1" applyFont="1" applyAlignment="1">
      <alignment horizontal="center"/>
    </xf>
    <xf numFmtId="37" fontId="12" fillId="0" borderId="0" xfId="0" applyNumberFormat="1" applyFont="1"/>
    <xf numFmtId="166" fontId="12" fillId="0" borderId="0" xfId="0" applyNumberFormat="1" applyFont="1"/>
    <xf numFmtId="0" fontId="16" fillId="3" borderId="5" xfId="0" applyFont="1" applyFill="1" applyBorder="1"/>
    <xf numFmtId="10" fontId="9" fillId="3" borderId="1" xfId="0" applyNumberFormat="1" applyFont="1" applyFill="1" applyBorder="1"/>
    <xf numFmtId="10" fontId="9" fillId="3" borderId="5" xfId="0" applyNumberFormat="1" applyFont="1" applyFill="1" applyBorder="1"/>
    <xf numFmtId="0" fontId="4" fillId="0" borderId="0" xfId="0" applyFont="1"/>
    <xf numFmtId="0" fontId="8" fillId="0" borderId="6" xfId="0" applyFont="1" applyBorder="1"/>
    <xf numFmtId="166" fontId="8" fillId="6" borderId="0" xfId="0" applyNumberFormat="1" applyFont="1" applyFill="1"/>
    <xf numFmtId="0" fontId="10" fillId="6" borderId="0" xfId="0" applyFont="1" applyFill="1"/>
    <xf numFmtId="0" fontId="0" fillId="0" borderId="6" xfId="0" applyBorder="1"/>
    <xf numFmtId="0" fontId="4" fillId="0" borderId="6" xfId="0" applyFont="1" applyBorder="1"/>
    <xf numFmtId="0" fontId="4" fillId="0" borderId="5" xfId="0" applyFont="1" applyBorder="1"/>
    <xf numFmtId="0" fontId="0" fillId="0" borderId="5" xfId="0" applyBorder="1"/>
    <xf numFmtId="0" fontId="10" fillId="0" borderId="6" xfId="0" applyFont="1" applyBorder="1"/>
    <xf numFmtId="41" fontId="0" fillId="0" borderId="0" xfId="0" applyNumberFormat="1" applyAlignment="1">
      <alignment horizontal="right"/>
    </xf>
    <xf numFmtId="168" fontId="10" fillId="0" borderId="6" xfId="0" applyNumberFormat="1" applyFont="1" applyBorder="1"/>
    <xf numFmtId="0" fontId="24" fillId="5" borderId="0" xfId="0" applyFont="1" applyFill="1"/>
    <xf numFmtId="0" fontId="4" fillId="7" borderId="0" xfId="0" applyFont="1" applyFill="1"/>
    <xf numFmtId="0" fontId="0" fillId="7" borderId="0" xfId="0" applyFill="1"/>
    <xf numFmtId="0" fontId="10" fillId="7" borderId="0" xfId="0" applyFont="1" applyFill="1" applyAlignment="1">
      <alignment horizontal="right"/>
    </xf>
    <xf numFmtId="0" fontId="0" fillId="5" borderId="5" xfId="0" applyFill="1" applyBorder="1"/>
    <xf numFmtId="0" fontId="4" fillId="7" borderId="5" xfId="0" applyFont="1" applyFill="1" applyBorder="1"/>
    <xf numFmtId="0" fontId="23" fillId="5" borderId="0" xfId="0" applyFont="1" applyFill="1"/>
    <xf numFmtId="0" fontId="23" fillId="5" borderId="5" xfId="0" applyFont="1" applyFill="1" applyBorder="1"/>
    <xf numFmtId="10" fontId="10" fillId="0" borderId="6" xfId="1" applyNumberFormat="1" applyFont="1" applyBorder="1"/>
    <xf numFmtId="10" fontId="0" fillId="0" borderId="5" xfId="1" applyNumberFormat="1" applyFont="1" applyBorder="1"/>
    <xf numFmtId="0" fontId="10" fillId="0" borderId="5" xfId="0" applyFont="1" applyBorder="1"/>
    <xf numFmtId="10" fontId="10" fillId="0" borderId="5" xfId="1" applyNumberFormat="1" applyFont="1" applyBorder="1"/>
    <xf numFmtId="9" fontId="0" fillId="0" borderId="5" xfId="0" applyNumberFormat="1" applyBorder="1"/>
    <xf numFmtId="167" fontId="10" fillId="0" borderId="5" xfId="0" applyNumberFormat="1" applyFont="1" applyBorder="1"/>
    <xf numFmtId="164" fontId="10" fillId="0" borderId="5" xfId="0" applyNumberFormat="1" applyFont="1" applyBorder="1"/>
    <xf numFmtId="0" fontId="0" fillId="7" borderId="5" xfId="0" applyFill="1" applyBorder="1"/>
    <xf numFmtId="168" fontId="0" fillId="0" borderId="5" xfId="0" applyNumberFormat="1" applyBorder="1"/>
    <xf numFmtId="1" fontId="0" fillId="0" borderId="5" xfId="0" applyNumberFormat="1" applyBorder="1"/>
    <xf numFmtId="165" fontId="25" fillId="0" borderId="5" xfId="0" applyNumberFormat="1" applyFont="1" applyBorder="1"/>
    <xf numFmtId="41" fontId="25" fillId="0" borderId="5" xfId="0" applyNumberFormat="1" applyFont="1" applyBorder="1"/>
    <xf numFmtId="3" fontId="26" fillId="0" borderId="5" xfId="0" applyNumberFormat="1" applyFont="1" applyBorder="1"/>
    <xf numFmtId="167" fontId="26" fillId="0" borderId="5" xfId="0" applyNumberFormat="1" applyFont="1" applyBorder="1"/>
    <xf numFmtId="0" fontId="26" fillId="0" borderId="5" xfId="0" applyFont="1" applyBorder="1"/>
    <xf numFmtId="168" fontId="25" fillId="0" borderId="0" xfId="0" applyNumberFormat="1" applyFont="1"/>
    <xf numFmtId="41" fontId="25" fillId="0" borderId="0" xfId="0" applyNumberFormat="1" applyFont="1"/>
    <xf numFmtId="0" fontId="10" fillId="8" borderId="5" xfId="0" applyFont="1" applyFill="1" applyBorder="1"/>
    <xf numFmtId="166" fontId="10" fillId="8" borderId="5" xfId="0" applyNumberFormat="1" applyFont="1" applyFill="1" applyBorder="1"/>
    <xf numFmtId="0" fontId="4" fillId="8" borderId="5" xfId="0" applyFont="1" applyFill="1" applyBorder="1"/>
    <xf numFmtId="0" fontId="12" fillId="0" borderId="5" xfId="0" applyFont="1" applyBorder="1"/>
    <xf numFmtId="164" fontId="12" fillId="0" borderId="5" xfId="0" applyNumberFormat="1" applyFont="1" applyBorder="1"/>
    <xf numFmtId="37" fontId="12" fillId="0" borderId="5" xfId="0" applyNumberFormat="1" applyFont="1" applyBorder="1"/>
    <xf numFmtId="0" fontId="18" fillId="0" borderId="5" xfId="0" applyFont="1" applyBorder="1"/>
    <xf numFmtId="167" fontId="12" fillId="0" borderId="5" xfId="0" applyNumberFormat="1" applyFont="1" applyBorder="1"/>
    <xf numFmtId="10" fontId="12" fillId="0" borderId="5" xfId="0" applyNumberFormat="1" applyFont="1" applyBorder="1"/>
    <xf numFmtId="9" fontId="12" fillId="0" borderId="5" xfId="0" applyNumberFormat="1" applyFont="1" applyBorder="1"/>
    <xf numFmtId="3" fontId="12" fillId="0" borderId="5" xfId="0" applyNumberFormat="1" applyFont="1" applyBorder="1"/>
    <xf numFmtId="2" fontId="12" fillId="0" borderId="5" xfId="0" applyNumberFormat="1" applyFont="1" applyBorder="1"/>
    <xf numFmtId="0" fontId="19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9" fontId="18" fillId="0" borderId="5" xfId="0" applyNumberFormat="1" applyFont="1" applyBorder="1" applyAlignment="1">
      <alignment horizontal="center"/>
    </xf>
    <xf numFmtId="0" fontId="20" fillId="0" borderId="5" xfId="0" applyFont="1" applyBorder="1"/>
    <xf numFmtId="4" fontId="12" fillId="0" borderId="5" xfId="0" applyNumberFormat="1" applyFont="1" applyBorder="1" applyAlignment="1">
      <alignment horizontal="center"/>
    </xf>
    <xf numFmtId="2" fontId="12" fillId="0" borderId="5" xfId="0" applyNumberFormat="1" applyFont="1" applyBorder="1" applyAlignment="1">
      <alignment horizontal="center"/>
    </xf>
    <xf numFmtId="17" fontId="6" fillId="0" borderId="5" xfId="0" applyNumberFormat="1" applyFont="1" applyBorder="1" applyAlignment="1">
      <alignment horizontal="center"/>
    </xf>
    <xf numFmtId="0" fontId="27" fillId="9" borderId="1" xfId="0" applyFont="1" applyFill="1" applyBorder="1"/>
    <xf numFmtId="17" fontId="27" fillId="5" borderId="5" xfId="0" applyNumberFormat="1" applyFont="1" applyFill="1" applyBorder="1" applyAlignment="1">
      <alignment horizontal="center"/>
    </xf>
    <xf numFmtId="167" fontId="6" fillId="0" borderId="5" xfId="0" applyNumberFormat="1" applyFont="1" applyBorder="1"/>
    <xf numFmtId="10" fontId="6" fillId="0" borderId="0" xfId="0" applyNumberFormat="1" applyFont="1"/>
    <xf numFmtId="10" fontId="6" fillId="3" borderId="5" xfId="0" applyNumberFormat="1" applyFont="1" applyFill="1" applyBorder="1"/>
    <xf numFmtId="0" fontId="13" fillId="3" borderId="5" xfId="0" applyFont="1" applyFill="1" applyBorder="1"/>
    <xf numFmtId="2" fontId="6" fillId="3" borderId="5" xfId="0" applyNumberFormat="1" applyFont="1" applyFill="1" applyBorder="1"/>
    <xf numFmtId="0" fontId="27" fillId="9" borderId="5" xfId="0" applyFont="1" applyFill="1" applyBorder="1"/>
    <xf numFmtId="0" fontId="6" fillId="0" borderId="5" xfId="0" applyFont="1" applyBorder="1"/>
    <xf numFmtId="0" fontId="14" fillId="4" borderId="5" xfId="0" applyFont="1" applyFill="1" applyBorder="1"/>
    <xf numFmtId="0" fontId="14" fillId="10" borderId="5" xfId="0" applyFont="1" applyFill="1" applyBorder="1"/>
    <xf numFmtId="0" fontId="3" fillId="0" borderId="0" xfId="0" applyFont="1"/>
    <xf numFmtId="168" fontId="4" fillId="0" borderId="5" xfId="0" applyNumberFormat="1" applyFont="1" applyBorder="1"/>
    <xf numFmtId="169" fontId="25" fillId="0" borderId="5" xfId="2" applyNumberFormat="1" applyFont="1" applyFill="1" applyBorder="1"/>
    <xf numFmtId="164" fontId="28" fillId="0" borderId="5" xfId="0" applyNumberFormat="1" applyFont="1" applyBorder="1"/>
    <xf numFmtId="2" fontId="12" fillId="7" borderId="5" xfId="0" applyNumberFormat="1" applyFont="1" applyFill="1" applyBorder="1"/>
    <xf numFmtId="2" fontId="29" fillId="5" borderId="5" xfId="0" applyNumberFormat="1" applyFont="1" applyFill="1" applyBorder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3" fontId="0" fillId="0" borderId="0" xfId="0" applyNumberFormat="1"/>
    <xf numFmtId="3" fontId="32" fillId="0" borderId="0" xfId="0" applyNumberFormat="1" applyFont="1"/>
    <xf numFmtId="3" fontId="33" fillId="0" borderId="0" xfId="0" applyNumberFormat="1" applyFont="1"/>
    <xf numFmtId="0" fontId="35" fillId="0" borderId="0" xfId="0" applyFont="1"/>
    <xf numFmtId="3" fontId="35" fillId="0" borderId="0" xfId="0" applyNumberFormat="1" applyFont="1"/>
    <xf numFmtId="14" fontId="33" fillId="0" borderId="0" xfId="0" applyNumberFormat="1" applyFont="1"/>
    <xf numFmtId="0" fontId="2" fillId="0" borderId="0" xfId="0" applyFont="1"/>
    <xf numFmtId="0" fontId="2" fillId="7" borderId="0" xfId="0" applyFont="1" applyFill="1"/>
    <xf numFmtId="0" fontId="8" fillId="0" borderId="8" xfId="0" applyFont="1" applyBorder="1"/>
    <xf numFmtId="0" fontId="23" fillId="5" borderId="0" xfId="0" applyFont="1" applyFill="1" applyAlignment="1">
      <alignment vertical="center"/>
    </xf>
    <xf numFmtId="0" fontId="5" fillId="11" borderId="5" xfId="0" applyFont="1" applyFill="1" applyBorder="1" applyAlignment="1">
      <alignment vertical="center"/>
    </xf>
    <xf numFmtId="0" fontId="36" fillId="0" borderId="5" xfId="0" applyFont="1" applyBorder="1"/>
    <xf numFmtId="0" fontId="5" fillId="11" borderId="5" xfId="0" applyFont="1" applyFill="1" applyBorder="1"/>
    <xf numFmtId="0" fontId="11" fillId="11" borderId="5" xfId="0" applyFont="1" applyFill="1" applyBorder="1"/>
    <xf numFmtId="0" fontId="36" fillId="12" borderId="5" xfId="0" applyFont="1" applyFill="1" applyBorder="1"/>
    <xf numFmtId="0" fontId="0" fillId="13" borderId="0" xfId="0" applyFill="1"/>
    <xf numFmtId="164" fontId="36" fillId="12" borderId="5" xfId="0" applyNumberFormat="1" applyFont="1" applyFill="1" applyBorder="1"/>
    <xf numFmtId="164" fontId="36" fillId="0" borderId="5" xfId="0" applyNumberFormat="1" applyFont="1" applyBorder="1"/>
    <xf numFmtId="165" fontId="36" fillId="0" borderId="5" xfId="0" applyNumberFormat="1" applyFont="1" applyBorder="1" applyAlignment="1">
      <alignment horizontal="right"/>
    </xf>
    <xf numFmtId="165" fontId="36" fillId="0" borderId="7" xfId="0" applyNumberFormat="1" applyFont="1" applyBorder="1" applyAlignment="1">
      <alignment horizontal="right"/>
    </xf>
    <xf numFmtId="0" fontId="5" fillId="2" borderId="5" xfId="0" applyFont="1" applyFill="1" applyBorder="1" applyAlignment="1">
      <alignment vertical="center"/>
    </xf>
    <xf numFmtId="0" fontId="5" fillId="11" borderId="5" xfId="0" applyFont="1" applyFill="1" applyBorder="1" applyAlignment="1">
      <alignment horizontal="right" vertical="center"/>
    </xf>
    <xf numFmtId="0" fontId="36" fillId="0" borderId="7" xfId="0" applyFont="1" applyBorder="1"/>
    <xf numFmtId="0" fontId="34" fillId="14" borderId="0" xfId="0" applyFont="1" applyFill="1"/>
    <xf numFmtId="0" fontId="32" fillId="14" borderId="0" xfId="0" applyFont="1" applyFill="1"/>
    <xf numFmtId="0" fontId="33" fillId="14" borderId="0" xfId="0" applyFont="1" applyFill="1"/>
    <xf numFmtId="0" fontId="35" fillId="14" borderId="0" xfId="0" applyFont="1" applyFill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37" fillId="0" borderId="6" xfId="0" applyFont="1" applyBorder="1"/>
    <xf numFmtId="0" fontId="37" fillId="0" borderId="6" xfId="0" applyFont="1" applyBorder="1" applyAlignment="1">
      <alignment horizontal="right"/>
    </xf>
    <xf numFmtId="0" fontId="2" fillId="0" borderId="5" xfId="0" applyFont="1" applyBorder="1"/>
    <xf numFmtId="0" fontId="39" fillId="0" borderId="5" xfId="0" applyFont="1" applyBorder="1"/>
    <xf numFmtId="165" fontId="36" fillId="14" borderId="5" xfId="0" applyNumberFormat="1" applyFont="1" applyFill="1" applyBorder="1" applyAlignment="1">
      <alignment horizontal="right"/>
    </xf>
    <xf numFmtId="165" fontId="37" fillId="14" borderId="6" xfId="0" applyNumberFormat="1" applyFont="1" applyFill="1" applyBorder="1" applyAlignment="1">
      <alignment horizontal="right"/>
    </xf>
    <xf numFmtId="0" fontId="37" fillId="0" borderId="8" xfId="0" applyFont="1" applyBorder="1"/>
    <xf numFmtId="165" fontId="37" fillId="0" borderId="8" xfId="0" applyNumberFormat="1" applyFont="1" applyBorder="1" applyAlignment="1">
      <alignment horizontal="right"/>
    </xf>
    <xf numFmtId="0" fontId="10" fillId="0" borderId="8" xfId="0" applyFont="1" applyBorder="1"/>
    <xf numFmtId="165" fontId="2" fillId="0" borderId="5" xfId="0" applyNumberFormat="1" applyFont="1" applyBorder="1" applyAlignment="1">
      <alignment horizontal="right"/>
    </xf>
    <xf numFmtId="165" fontId="2" fillId="14" borderId="5" xfId="0" applyNumberFormat="1" applyFont="1" applyFill="1" applyBorder="1" applyAlignment="1">
      <alignment horizontal="right"/>
    </xf>
    <xf numFmtId="0" fontId="5" fillId="11" borderId="5" xfId="0" applyFont="1" applyFill="1" applyBorder="1" applyAlignment="1">
      <alignment horizontal="center" vertical="center"/>
    </xf>
    <xf numFmtId="165" fontId="26" fillId="0" borderId="5" xfId="0" applyNumberFormat="1" applyFont="1" applyBorder="1" applyAlignment="1">
      <alignment horizontal="right"/>
    </xf>
    <xf numFmtId="164" fontId="26" fillId="0" borderId="0" xfId="0" applyNumberFormat="1" applyFont="1"/>
    <xf numFmtId="164" fontId="10" fillId="0" borderId="8" xfId="0" applyNumberFormat="1" applyFont="1" applyBorder="1"/>
    <xf numFmtId="164" fontId="2" fillId="4" borderId="0" xfId="0" applyNumberFormat="1" applyFont="1" applyFill="1"/>
    <xf numFmtId="164" fontId="10" fillId="0" borderId="6" xfId="0" applyNumberFormat="1" applyFont="1" applyBorder="1"/>
    <xf numFmtId="170" fontId="26" fillId="0" borderId="0" xfId="0" applyNumberFormat="1" applyFont="1"/>
    <xf numFmtId="170" fontId="2" fillId="4" borderId="0" xfId="0" applyNumberFormat="1" applyFont="1" applyFill="1"/>
    <xf numFmtId="170" fontId="10" fillId="0" borderId="6" xfId="0" applyNumberFormat="1" applyFont="1" applyBorder="1"/>
    <xf numFmtId="170" fontId="0" fillId="0" borderId="0" xfId="0" applyNumberFormat="1"/>
    <xf numFmtId="170" fontId="2" fillId="0" borderId="0" xfId="0" applyNumberFormat="1" applyFont="1"/>
    <xf numFmtId="170" fontId="26" fillId="0" borderId="0" xfId="0" applyNumberFormat="1" applyFont="1" applyAlignment="1">
      <alignment horizontal="right"/>
    </xf>
    <xf numFmtId="170" fontId="2" fillId="14" borderId="0" xfId="0" applyNumberFormat="1" applyFont="1" applyFill="1"/>
    <xf numFmtId="170" fontId="26" fillId="0" borderId="0" xfId="0" quotePrefix="1" applyNumberFormat="1" applyFont="1" applyAlignment="1">
      <alignment horizontal="right"/>
    </xf>
    <xf numFmtId="170" fontId="10" fillId="0" borderId="5" xfId="0" applyNumberFormat="1" applyFont="1" applyBorder="1"/>
    <xf numFmtId="42" fontId="0" fillId="0" borderId="0" xfId="0" applyNumberFormat="1"/>
    <xf numFmtId="42" fontId="26" fillId="0" borderId="0" xfId="0" applyNumberFormat="1" applyFont="1"/>
    <xf numFmtId="42" fontId="0" fillId="4" borderId="0" xfId="0" applyNumberFormat="1" applyFill="1"/>
    <xf numFmtId="164" fontId="10" fillId="4" borderId="8" xfId="0" applyNumberFormat="1" applyFont="1" applyFill="1" applyBorder="1"/>
    <xf numFmtId="164" fontId="10" fillId="4" borderId="6" xfId="0" applyNumberFormat="1" applyFont="1" applyFill="1" applyBorder="1"/>
    <xf numFmtId="41" fontId="26" fillId="0" borderId="0" xfId="0" applyNumberFormat="1" applyFont="1"/>
    <xf numFmtId="41" fontId="0" fillId="4" borderId="0" xfId="0" applyNumberFormat="1" applyFill="1"/>
    <xf numFmtId="41" fontId="10" fillId="0" borderId="6" xfId="0" applyNumberFormat="1" applyFont="1" applyBorder="1"/>
    <xf numFmtId="41" fontId="10" fillId="4" borderId="6" xfId="0" applyNumberFormat="1" applyFont="1" applyFill="1" applyBorder="1"/>
    <xf numFmtId="41" fontId="0" fillId="0" borderId="0" xfId="0" applyNumberFormat="1"/>
    <xf numFmtId="41" fontId="0" fillId="13" borderId="0" xfId="0" applyNumberFormat="1" applyFill="1"/>
    <xf numFmtId="41" fontId="40" fillId="0" borderId="0" xfId="0" applyNumberFormat="1" applyFont="1"/>
    <xf numFmtId="41" fontId="36" fillId="0" borderId="5" xfId="0" applyNumberFormat="1" applyFont="1" applyBorder="1" applyAlignment="1">
      <alignment horizontal="right"/>
    </xf>
    <xf numFmtId="164" fontId="26" fillId="0" borderId="5" xfId="0" applyNumberFormat="1" applyFont="1" applyBorder="1" applyAlignment="1">
      <alignment horizontal="right"/>
    </xf>
    <xf numFmtId="164" fontId="36" fillId="14" borderId="5" xfId="0" applyNumberFormat="1" applyFont="1" applyFill="1" applyBorder="1" applyAlignment="1">
      <alignment horizontal="right"/>
    </xf>
    <xf numFmtId="164" fontId="37" fillId="0" borderId="6" xfId="0" applyNumberFormat="1" applyFont="1" applyBorder="1" applyAlignment="1">
      <alignment horizontal="right"/>
    </xf>
    <xf numFmtId="164" fontId="37" fillId="14" borderId="6" xfId="0" applyNumberFormat="1" applyFont="1" applyFill="1" applyBorder="1" applyAlignment="1">
      <alignment horizontal="right"/>
    </xf>
    <xf numFmtId="164" fontId="37" fillId="0" borderId="8" xfId="0" applyNumberFormat="1" applyFont="1" applyBorder="1" applyAlignment="1">
      <alignment horizontal="right"/>
    </xf>
    <xf numFmtId="164" fontId="37" fillId="14" borderId="8" xfId="0" applyNumberFormat="1" applyFont="1" applyFill="1" applyBorder="1" applyAlignment="1">
      <alignment horizontal="right"/>
    </xf>
    <xf numFmtId="10" fontId="6" fillId="4" borderId="1" xfId="0" applyNumberFormat="1" applyFont="1" applyFill="1" applyBorder="1"/>
    <xf numFmtId="10" fontId="6" fillId="4" borderId="5" xfId="0" applyNumberFormat="1" applyFont="1" applyFill="1" applyBorder="1"/>
    <xf numFmtId="10" fontId="6" fillId="10" borderId="1" xfId="0" applyNumberFormat="1" applyFont="1" applyFill="1" applyBorder="1"/>
    <xf numFmtId="170" fontId="2" fillId="4" borderId="0" xfId="0" applyNumberFormat="1" applyFont="1" applyFill="1" applyAlignment="1">
      <alignment horizontal="right"/>
    </xf>
    <xf numFmtId="170" fontId="2" fillId="14" borderId="0" xfId="0" applyNumberFormat="1" applyFont="1" applyFill="1" applyAlignment="1">
      <alignment horizontal="right" vertical="center"/>
    </xf>
    <xf numFmtId="170" fontId="10" fillId="4" borderId="6" xfId="0" applyNumberFormat="1" applyFont="1" applyFill="1" applyBorder="1"/>
    <xf numFmtId="10" fontId="6" fillId="10" borderId="5" xfId="0" applyNumberFormat="1" applyFont="1" applyFill="1" applyBorder="1"/>
    <xf numFmtId="0" fontId="36" fillId="0" borderId="5" xfId="0" applyFont="1" applyBorder="1" applyAlignment="1">
      <alignment horizontal="left"/>
    </xf>
    <xf numFmtId="165" fontId="38" fillId="0" borderId="6" xfId="0" applyNumberFormat="1" applyFont="1" applyBorder="1" applyAlignment="1">
      <alignment horizontal="right"/>
    </xf>
    <xf numFmtId="165" fontId="26" fillId="0" borderId="7" xfId="0" applyNumberFormat="1" applyFont="1" applyBorder="1" applyAlignment="1">
      <alignment horizontal="right"/>
    </xf>
    <xf numFmtId="165" fontId="36" fillId="14" borderId="7" xfId="0" applyNumberFormat="1" applyFont="1" applyFill="1" applyBorder="1" applyAlignment="1">
      <alignment horizontal="right"/>
    </xf>
    <xf numFmtId="10" fontId="6" fillId="4" borderId="0" xfId="0" applyNumberFormat="1" applyFont="1" applyFill="1"/>
    <xf numFmtId="10" fontId="10" fillId="8" borderId="5" xfId="1" applyNumberFormat="1" applyFont="1" applyFill="1" applyBorder="1"/>
    <xf numFmtId="0" fontId="2" fillId="8" borderId="5" xfId="0" applyFont="1" applyFill="1" applyBorder="1"/>
    <xf numFmtId="0" fontId="0" fillId="8" borderId="5" xfId="0" applyFill="1" applyBorder="1"/>
    <xf numFmtId="0" fontId="10" fillId="8" borderId="6" xfId="0" applyFont="1" applyFill="1" applyBorder="1"/>
    <xf numFmtId="10" fontId="9" fillId="0" borderId="0" xfId="1" applyNumberFormat="1" applyFont="1"/>
    <xf numFmtId="0" fontId="29" fillId="5" borderId="5" xfId="0" applyFont="1" applyFill="1" applyBorder="1" applyAlignment="1">
      <alignment horizontal="center" vertical="center"/>
    </xf>
    <xf numFmtId="166" fontId="12" fillId="0" borderId="5" xfId="0" applyNumberFormat="1" applyFont="1" applyBorder="1" applyAlignment="1">
      <alignment horizontal="center"/>
    </xf>
    <xf numFmtId="0" fontId="41" fillId="0" borderId="5" xfId="0" applyFont="1" applyBorder="1" applyAlignment="1">
      <alignment horizontal="center" vertical="center"/>
    </xf>
    <xf numFmtId="10" fontId="42" fillId="0" borderId="5" xfId="0" applyNumberFormat="1" applyFont="1" applyBorder="1" applyAlignment="1">
      <alignment horizontal="center"/>
    </xf>
    <xf numFmtId="2" fontId="6" fillId="0" borderId="5" xfId="0" applyNumberFormat="1" applyFont="1" applyBorder="1"/>
    <xf numFmtId="10" fontId="10" fillId="8" borderId="6" xfId="1" applyNumberFormat="1" applyFont="1" applyFill="1" applyBorder="1"/>
    <xf numFmtId="10" fontId="10" fillId="0" borderId="6" xfId="0" applyNumberFormat="1" applyFont="1" applyBorder="1"/>
    <xf numFmtId="10" fontId="0" fillId="0" borderId="5" xfId="0" applyNumberFormat="1" applyBorder="1"/>
    <xf numFmtId="10" fontId="0" fillId="0" borderId="0" xfId="1" applyNumberFormat="1" applyFont="1"/>
    <xf numFmtId="10" fontId="12" fillId="7" borderId="5" xfId="0" applyNumberFormat="1" applyFont="1" applyFill="1" applyBorder="1"/>
    <xf numFmtId="10" fontId="12" fillId="7" borderId="5" xfId="0" applyNumberFormat="1" applyFont="1" applyFill="1" applyBorder="1" applyAlignment="1">
      <alignment horizontal="center"/>
    </xf>
    <xf numFmtId="10" fontId="12" fillId="7" borderId="5" xfId="1" applyNumberFormat="1" applyFont="1" applyFill="1" applyBorder="1" applyAlignment="1">
      <alignment horizontal="center"/>
    </xf>
    <xf numFmtId="0" fontId="26" fillId="0" borderId="0" xfId="0" applyFont="1" applyAlignment="1">
      <alignment horizontal="right"/>
    </xf>
    <xf numFmtId="10" fontId="6" fillId="0" borderId="5" xfId="0" applyNumberFormat="1" applyFont="1" applyBorder="1"/>
    <xf numFmtId="0" fontId="6" fillId="3" borderId="1" xfId="0" applyFont="1" applyFill="1" applyBorder="1" applyAlignment="1">
      <alignment horizontal="left" indent="1"/>
    </xf>
    <xf numFmtId="0" fontId="6" fillId="3" borderId="5" xfId="0" applyFont="1" applyFill="1" applyBorder="1" applyAlignment="1">
      <alignment horizontal="left" indent="1"/>
    </xf>
    <xf numFmtId="10" fontId="6" fillId="15" borderId="1" xfId="0" applyNumberFormat="1" applyFont="1" applyFill="1" applyBorder="1"/>
    <xf numFmtId="0" fontId="8" fillId="16" borderId="5" xfId="0" applyFont="1" applyFill="1" applyBorder="1"/>
    <xf numFmtId="0" fontId="8" fillId="14" borderId="1" xfId="0" applyFont="1" applyFill="1" applyBorder="1"/>
    <xf numFmtId="0" fontId="8" fillId="15" borderId="1" xfId="0" applyFont="1" applyFill="1" applyBorder="1"/>
    <xf numFmtId="0" fontId="8" fillId="15" borderId="5" xfId="0" applyFont="1" applyFill="1" applyBorder="1"/>
    <xf numFmtId="0" fontId="8" fillId="10" borderId="5" xfId="0" applyFont="1" applyFill="1" applyBorder="1"/>
    <xf numFmtId="10" fontId="9" fillId="3" borderId="1" xfId="0" applyNumberFormat="1" applyFont="1" applyFill="1" applyBorder="1" applyAlignment="1">
      <alignment horizontal="center"/>
    </xf>
    <xf numFmtId="0" fontId="17" fillId="3" borderId="5" xfId="0" applyFont="1" applyFill="1" applyBorder="1"/>
    <xf numFmtId="9" fontId="9" fillId="3" borderId="5" xfId="0" applyNumberFormat="1" applyFont="1" applyFill="1" applyBorder="1"/>
    <xf numFmtId="9" fontId="6" fillId="3" borderId="5" xfId="0" applyNumberFormat="1" applyFont="1" applyFill="1" applyBorder="1"/>
    <xf numFmtId="0" fontId="8" fillId="16" borderId="1" xfId="0" applyFont="1" applyFill="1" applyBorder="1"/>
    <xf numFmtId="17" fontId="6" fillId="8" borderId="5" xfId="0" applyNumberFormat="1" applyFont="1" applyFill="1" applyBorder="1" applyAlignment="1">
      <alignment horizontal="center"/>
    </xf>
    <xf numFmtId="10" fontId="9" fillId="16" borderId="5" xfId="0" applyNumberFormat="1" applyFont="1" applyFill="1" applyBorder="1"/>
    <xf numFmtId="10" fontId="6" fillId="8" borderId="0" xfId="0" applyNumberFormat="1" applyFont="1" applyFill="1"/>
    <xf numFmtId="167" fontId="6" fillId="8" borderId="5" xfId="0" applyNumberFormat="1" applyFont="1" applyFill="1" applyBorder="1"/>
    <xf numFmtId="9" fontId="9" fillId="16" borderId="1" xfId="0" applyNumberFormat="1" applyFont="1" applyFill="1" applyBorder="1"/>
    <xf numFmtId="9" fontId="6" fillId="16" borderId="1" xfId="0" applyNumberFormat="1" applyFont="1" applyFill="1" applyBorder="1"/>
    <xf numFmtId="0" fontId="6" fillId="16" borderId="1" xfId="0" applyFont="1" applyFill="1" applyBorder="1"/>
    <xf numFmtId="2" fontId="6" fillId="15" borderId="5" xfId="0" applyNumberFormat="1" applyFont="1" applyFill="1" applyBorder="1"/>
    <xf numFmtId="0" fontId="6" fillId="0" borderId="0" xfId="0" applyFont="1" applyAlignment="1">
      <alignment horizontal="center"/>
    </xf>
    <xf numFmtId="0" fontId="1" fillId="0" borderId="0" xfId="0" applyFont="1"/>
    <xf numFmtId="17" fontId="27" fillId="5" borderId="10" xfId="0" applyNumberFormat="1" applyFont="1" applyFill="1" applyBorder="1" applyAlignment="1">
      <alignment horizontal="center"/>
    </xf>
    <xf numFmtId="17" fontId="6" fillId="7" borderId="11" xfId="0" applyNumberFormat="1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17" fontId="27" fillId="5" borderId="6" xfId="0" applyNumberFormat="1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10" fontId="43" fillId="0" borderId="5" xfId="0" applyNumberFormat="1" applyFont="1" applyBorder="1"/>
    <xf numFmtId="41" fontId="1" fillId="14" borderId="0" xfId="0" applyNumberFormat="1" applyFont="1" applyFill="1"/>
    <xf numFmtId="0" fontId="10" fillId="14" borderId="7" xfId="0" applyFont="1" applyFill="1" applyBorder="1"/>
    <xf numFmtId="0" fontId="4" fillId="14" borderId="7" xfId="0" applyFont="1" applyFill="1" applyBorder="1"/>
    <xf numFmtId="10" fontId="10" fillId="14" borderId="7" xfId="1" applyNumberFormat="1" applyFont="1" applyFill="1" applyBorder="1"/>
    <xf numFmtId="0" fontId="10" fillId="14" borderId="5" xfId="0" applyFont="1" applyFill="1" applyBorder="1"/>
    <xf numFmtId="0" fontId="4" fillId="14" borderId="5" xfId="0" applyFont="1" applyFill="1" applyBorder="1" applyAlignment="1">
      <alignment horizontal="right"/>
    </xf>
    <xf numFmtId="167" fontId="4" fillId="14" borderId="5" xfId="0" applyNumberFormat="1" applyFont="1" applyFill="1" applyBorder="1" applyAlignment="1">
      <alignment horizontal="right"/>
    </xf>
    <xf numFmtId="41" fontId="1" fillId="4" borderId="0" xfId="0" applyNumberFormat="1" applyFont="1" applyFill="1" applyAlignment="1">
      <alignment wrapText="1"/>
    </xf>
    <xf numFmtId="166" fontId="26" fillId="8" borderId="5" xfId="2" applyNumberFormat="1" applyFont="1" applyFill="1" applyBorder="1"/>
    <xf numFmtId="164" fontId="29" fillId="5" borderId="5" xfId="0" applyNumberFormat="1" applyFont="1" applyFill="1" applyBorder="1" applyAlignment="1">
      <alignment horizontal="center"/>
    </xf>
    <xf numFmtId="0" fontId="29" fillId="5" borderId="5" xfId="0" applyFont="1" applyFill="1" applyBorder="1" applyAlignment="1">
      <alignment horizontal="center" vertical="center" textRotation="90"/>
    </xf>
    <xf numFmtId="0" fontId="6" fillId="3" borderId="5" xfId="0" applyFont="1" applyFill="1" applyBorder="1" applyAlignment="1">
      <alignment horizontal="center"/>
    </xf>
    <xf numFmtId="0" fontId="15" fillId="0" borderId="5" xfId="0" applyFont="1" applyBorder="1"/>
    <xf numFmtId="0" fontId="6" fillId="3" borderId="0" xfId="0" applyFont="1" applyFill="1" applyAlignment="1">
      <alignment horizontal="center"/>
    </xf>
    <xf numFmtId="0" fontId="0" fillId="0" borderId="0" xfId="0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073763"/>
      <color rgb="FF0038D4"/>
      <color rgb="FF002CD4"/>
      <color rgb="FFCACACA"/>
      <color rgb="FFBAB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034"/>
  <sheetViews>
    <sheetView showGridLines="0" tabSelected="1" workbookViewId="0">
      <selection activeCell="I33" sqref="I33"/>
    </sheetView>
  </sheetViews>
  <sheetFormatPr baseColWidth="10" defaultColWidth="11.1640625" defaultRowHeight="15" customHeight="1" x14ac:dyDescent="0.2"/>
  <cols>
    <col min="1" max="1" width="4" customWidth="1"/>
    <col min="2" max="2" width="23.6640625" customWidth="1"/>
    <col min="3" max="3" width="15.83203125" customWidth="1"/>
    <col min="4" max="4" width="14.5" customWidth="1"/>
    <col min="5" max="5" width="12.5" customWidth="1"/>
    <col min="6" max="6" width="13.1640625" customWidth="1"/>
    <col min="7" max="7" width="13" customWidth="1"/>
    <col min="8" max="8" width="13.5" customWidth="1"/>
    <col min="9" max="9" width="14.1640625" customWidth="1"/>
    <col min="10" max="10" width="12.33203125" customWidth="1"/>
    <col min="11" max="11" width="12" customWidth="1"/>
    <col min="12" max="13" width="9.5" customWidth="1"/>
    <col min="14" max="14" width="12.33203125" customWidth="1"/>
    <col min="15" max="28" width="9.5" customWidth="1"/>
  </cols>
  <sheetData>
    <row r="2" spans="1:12" ht="15" customHeight="1" x14ac:dyDescent="0.2">
      <c r="A2" s="90" t="s">
        <v>121</v>
      </c>
      <c r="B2" s="41" t="s">
        <v>77</v>
      </c>
      <c r="C2" s="41"/>
      <c r="D2" s="35"/>
      <c r="E2" s="35"/>
      <c r="F2" s="35"/>
      <c r="G2" s="35"/>
      <c r="H2" s="35"/>
      <c r="I2" s="35"/>
      <c r="K2" s="1"/>
      <c r="L2" s="1"/>
    </row>
    <row r="3" spans="1:12" ht="15" customHeight="1" x14ac:dyDescent="0.2">
      <c r="B3" s="36" t="s">
        <v>78</v>
      </c>
      <c r="C3" s="36"/>
      <c r="D3" s="37"/>
      <c r="E3" s="38" t="s">
        <v>288</v>
      </c>
      <c r="F3" s="38" t="s">
        <v>4</v>
      </c>
      <c r="G3" s="38" t="s">
        <v>5</v>
      </c>
      <c r="H3" s="38" t="s">
        <v>6</v>
      </c>
      <c r="I3" s="38" t="s">
        <v>7</v>
      </c>
      <c r="K3" s="1"/>
      <c r="L3" s="227"/>
    </row>
    <row r="4" spans="1:12" ht="15" customHeight="1" x14ac:dyDescent="0.2">
      <c r="B4" s="24"/>
      <c r="C4" s="24"/>
      <c r="K4" s="1"/>
      <c r="L4" s="1"/>
    </row>
    <row r="5" spans="1:12" ht="15" customHeight="1" x14ac:dyDescent="0.2">
      <c r="B5" s="4" t="s">
        <v>79</v>
      </c>
      <c r="C5" s="4"/>
      <c r="E5" s="58">
        <f>'Income Statement Forecast'!F16</f>
        <v>11564.1705</v>
      </c>
      <c r="F5" s="58">
        <f>'Income Statement Forecast'!G16</f>
        <v>13984.055384000003</v>
      </c>
      <c r="G5" s="58">
        <f>'Income Statement Forecast'!H16</f>
        <v>15814.813738879999</v>
      </c>
      <c r="H5" s="58">
        <f>'Income Statement Forecast'!I16</f>
        <v>16368.332219740798</v>
      </c>
      <c r="I5" s="58">
        <f>'Income Statement Forecast'!J16</f>
        <v>18937.069118426152</v>
      </c>
      <c r="K5" s="1"/>
      <c r="L5" s="227"/>
    </row>
    <row r="6" spans="1:12" ht="15" customHeight="1" x14ac:dyDescent="0.2">
      <c r="B6" s="24" t="s">
        <v>80</v>
      </c>
      <c r="C6" s="24"/>
      <c r="E6" s="33">
        <f>-E5*'Forecasted Assumptions'!G37</f>
        <v>-2744.1776596500004</v>
      </c>
      <c r="F6" s="33">
        <f>-F5*'Forecasted Assumptions'!H37</f>
        <v>-3318.4163426232008</v>
      </c>
      <c r="G6" s="33">
        <f>-G5*'Forecasted Assumptions'!I37</f>
        <v>-3752.8553002362237</v>
      </c>
      <c r="H6" s="33">
        <f>-H5*'Forecasted Assumptions'!J37</f>
        <v>-3884.2052357444913</v>
      </c>
      <c r="I6" s="33">
        <f>-I5*'Forecasted Assumptions'!K37</f>
        <v>0</v>
      </c>
    </row>
    <row r="7" spans="1:12" ht="15" customHeight="1" x14ac:dyDescent="0.2">
      <c r="B7" s="32" t="s">
        <v>81</v>
      </c>
      <c r="C7" s="32"/>
      <c r="D7" s="28"/>
      <c r="E7" s="34">
        <f>SUM(E5:E6)</f>
        <v>8819.9928403499998</v>
      </c>
      <c r="F7" s="34">
        <f t="shared" ref="F7:I7" si="0">SUM(F5:F6)</f>
        <v>10665.639041376802</v>
      </c>
      <c r="G7" s="34">
        <f t="shared" si="0"/>
        <v>12061.958438643775</v>
      </c>
      <c r="H7" s="34">
        <f t="shared" si="0"/>
        <v>12484.126983996306</v>
      </c>
      <c r="I7" s="34">
        <f t="shared" si="0"/>
        <v>18937.069118426152</v>
      </c>
    </row>
    <row r="8" spans="1:12" ht="15" customHeight="1" x14ac:dyDescent="0.2">
      <c r="B8" s="24" t="s">
        <v>82</v>
      </c>
      <c r="C8" s="24"/>
      <c r="E8" s="59">
        <f>'Cash Flows Forecast'!G7</f>
        <v>5139.7000000000007</v>
      </c>
      <c r="F8" s="59">
        <f>'Cash Flows Forecast'!H7</f>
        <v>5345.2880000000005</v>
      </c>
      <c r="G8" s="59">
        <f>'Cash Flows Forecast'!I7</f>
        <v>5559.0995200000007</v>
      </c>
      <c r="H8" s="59">
        <f>'Cash Flows Forecast'!J7</f>
        <v>5753.6680031999995</v>
      </c>
      <c r="I8" s="59">
        <f>'Cash Flows Forecast'!K7</f>
        <v>5897.5097032799986</v>
      </c>
    </row>
    <row r="9" spans="1:12" ht="15" customHeight="1" x14ac:dyDescent="0.2">
      <c r="B9" s="24" t="s">
        <v>86</v>
      </c>
      <c r="C9" s="24"/>
      <c r="E9" s="59">
        <f>'Cash Flows Forecast'!G8</f>
        <v>-254.55000000000291</v>
      </c>
      <c r="F9" s="59">
        <f>'Cash Flows Forecast'!H8</f>
        <v>-349.58199999999488</v>
      </c>
      <c r="G9" s="59">
        <f>'Cash Flows Forecast'!I8</f>
        <v>-363.56528000000253</v>
      </c>
      <c r="H9" s="59">
        <f>'Cash Flows Forecast'!J8</f>
        <v>-330.8444047999983</v>
      </c>
      <c r="I9" s="59">
        <f>'Cash Flows Forecast'!K8</f>
        <v>-244.58854211999642</v>
      </c>
    </row>
    <row r="10" spans="1:12" ht="15" customHeight="1" x14ac:dyDescent="0.2">
      <c r="B10" s="24" t="s">
        <v>83</v>
      </c>
      <c r="C10" s="24"/>
      <c r="E10" s="58">
        <f>'Cash Flows Forecast'!G11</f>
        <v>-5574.36</v>
      </c>
      <c r="F10" s="58">
        <f>'Cash Flows Forecast'!H11</f>
        <v>-5797.3343999999997</v>
      </c>
      <c r="G10" s="58">
        <f>'Cash Flows Forecast'!I11</f>
        <v>-6029.2277759999997</v>
      </c>
      <c r="H10" s="58">
        <f>'Cash Flows Forecast'!J11</f>
        <v>-6240.2507481599987</v>
      </c>
      <c r="I10" s="58">
        <f>'Cash Flows Forecast'!K11</f>
        <v>-6396.2570168639986</v>
      </c>
    </row>
    <row r="11" spans="1:12" ht="15" customHeight="1" x14ac:dyDescent="0.2">
      <c r="B11" s="32" t="s">
        <v>84</v>
      </c>
      <c r="C11" s="32"/>
      <c r="D11" s="29"/>
      <c r="E11" s="34">
        <f>SUM(E7:E10)</f>
        <v>8130.782840349998</v>
      </c>
      <c r="F11" s="34">
        <f t="shared" ref="F11:I11" si="1">SUM(F7:F10)</f>
        <v>9864.0106413768081</v>
      </c>
      <c r="G11" s="34">
        <f t="shared" si="1"/>
        <v>11228.264902643772</v>
      </c>
      <c r="H11" s="34">
        <f t="shared" si="1"/>
        <v>11666.699834236309</v>
      </c>
      <c r="I11" s="34">
        <f t="shared" si="1"/>
        <v>18193.733262722155</v>
      </c>
    </row>
    <row r="12" spans="1:12" ht="15" customHeight="1" x14ac:dyDescent="0.2">
      <c r="B12" s="24" t="s">
        <v>85</v>
      </c>
      <c r="C12" s="24"/>
      <c r="E12" s="203" t="s">
        <v>312</v>
      </c>
      <c r="F12" s="199">
        <f>+F11/E11-1</f>
        <v>0.21316862534139469</v>
      </c>
      <c r="G12" s="199">
        <f t="shared" ref="G12:I12" si="2">+G11/F11-1</f>
        <v>0.13830624386639379</v>
      </c>
      <c r="H12" s="199">
        <f t="shared" si="2"/>
        <v>3.9047433899542572E-2</v>
      </c>
      <c r="I12" s="199">
        <f t="shared" si="2"/>
        <v>0.55945841765226989</v>
      </c>
    </row>
    <row r="13" spans="1:12" ht="15" customHeight="1" x14ac:dyDescent="0.2">
      <c r="B13" s="30"/>
      <c r="C13" s="30"/>
      <c r="D13" s="31"/>
      <c r="E13" s="31"/>
      <c r="F13" s="31"/>
      <c r="G13" s="31"/>
      <c r="H13" s="31"/>
      <c r="I13" s="31"/>
    </row>
    <row r="14" spans="1:12" ht="15" customHeight="1" x14ac:dyDescent="0.2">
      <c r="A14" s="90" t="s">
        <v>121</v>
      </c>
      <c r="B14" s="42" t="s">
        <v>87</v>
      </c>
      <c r="C14" s="42"/>
      <c r="D14" s="39"/>
      <c r="E14" s="31"/>
      <c r="F14" s="42" t="s">
        <v>103</v>
      </c>
      <c r="G14" s="42"/>
      <c r="H14" s="42"/>
      <c r="I14" s="42"/>
    </row>
    <row r="15" spans="1:12" ht="15" customHeight="1" x14ac:dyDescent="0.2">
      <c r="B15" s="40" t="s">
        <v>78</v>
      </c>
      <c r="C15" s="40"/>
      <c r="D15" s="40"/>
      <c r="E15" s="30"/>
      <c r="F15" s="40" t="s">
        <v>78</v>
      </c>
      <c r="G15" s="50"/>
      <c r="H15" s="50"/>
      <c r="I15" s="50"/>
    </row>
    <row r="16" spans="1:12" ht="15" customHeight="1" x14ac:dyDescent="0.2">
      <c r="B16" s="30"/>
      <c r="C16" s="30"/>
      <c r="D16" s="31"/>
      <c r="E16" s="31"/>
      <c r="F16" s="31"/>
      <c r="G16" s="31"/>
      <c r="H16" s="31"/>
      <c r="I16" s="31"/>
    </row>
    <row r="17" spans="2:9" ht="15" customHeight="1" x14ac:dyDescent="0.2">
      <c r="B17" s="236" t="s">
        <v>88</v>
      </c>
      <c r="C17" s="236"/>
      <c r="D17" s="237"/>
      <c r="E17" s="30"/>
      <c r="F17" s="30" t="s">
        <v>104</v>
      </c>
      <c r="G17" s="31"/>
      <c r="H17" s="31"/>
      <c r="I17" s="51">
        <f>SUM(E11:I11)</f>
        <v>59083.491481329045</v>
      </c>
    </row>
    <row r="18" spans="2:9" ht="15" customHeight="1" x14ac:dyDescent="0.2">
      <c r="B18" s="30" t="s">
        <v>9</v>
      </c>
      <c r="C18" s="30"/>
      <c r="D18" s="53">
        <f>'Income Statement Forecast'!F18</f>
        <v>-594.44744999999978</v>
      </c>
      <c r="E18" s="31"/>
      <c r="F18" s="30" t="s">
        <v>105</v>
      </c>
      <c r="G18" s="31"/>
      <c r="H18" s="31"/>
      <c r="I18" s="47">
        <v>0.03</v>
      </c>
    </row>
    <row r="19" spans="2:9" ht="15" customHeight="1" x14ac:dyDescent="0.2">
      <c r="B19" s="30" t="s">
        <v>89</v>
      </c>
      <c r="C19" s="30"/>
      <c r="D19" s="92">
        <f>'Balance Sheet Forecast'!F33</f>
        <v>39130</v>
      </c>
      <c r="E19" s="31"/>
      <c r="F19" s="30" t="s">
        <v>108</v>
      </c>
      <c r="G19" s="31"/>
      <c r="H19" s="31"/>
      <c r="I19" s="52">
        <v>5</v>
      </c>
    </row>
    <row r="20" spans="2:9" ht="15" customHeight="1" x14ac:dyDescent="0.2">
      <c r="B20" s="32" t="s">
        <v>90</v>
      </c>
      <c r="C20" s="32"/>
      <c r="D20" s="43">
        <f>-D18/D19</f>
        <v>1.5191603628929205E-2</v>
      </c>
      <c r="E20" s="31"/>
      <c r="F20" s="30" t="s">
        <v>106</v>
      </c>
      <c r="G20" s="31"/>
      <c r="H20" s="31"/>
      <c r="I20" s="51">
        <f>I11*(1+I18)</f>
        <v>18739.54526060382</v>
      </c>
    </row>
    <row r="21" spans="2:9" ht="15" customHeight="1" x14ac:dyDescent="0.2">
      <c r="B21" s="30" t="s">
        <v>91</v>
      </c>
      <c r="C21" s="30"/>
      <c r="D21" s="44">
        <f>('Income Statement Forecast'!E22/'Income Statement Forecast'!E21)*-1</f>
        <v>0.23728365702206369</v>
      </c>
      <c r="E21" s="31"/>
      <c r="F21" s="30" t="s">
        <v>69</v>
      </c>
      <c r="G21" s="31"/>
      <c r="H21" s="31"/>
      <c r="I21" s="51">
        <f>I20/(D35-I18)</f>
        <v>297777.7535270137</v>
      </c>
    </row>
    <row r="22" spans="2:9" ht="15" customHeight="1" x14ac:dyDescent="0.2">
      <c r="B22" s="32" t="s">
        <v>92</v>
      </c>
      <c r="C22" s="32"/>
      <c r="D22" s="43">
        <f>+D20*(1-D21)</f>
        <v>1.1586884363827229E-2</v>
      </c>
      <c r="E22" s="31"/>
      <c r="F22" s="30" t="s">
        <v>107</v>
      </c>
      <c r="G22" s="31"/>
      <c r="H22" s="31"/>
      <c r="I22" s="51">
        <f>I21/(1+D35)^I19</f>
        <v>190953.62317874219</v>
      </c>
    </row>
    <row r="23" spans="2:9" ht="15" customHeight="1" x14ac:dyDescent="0.2">
      <c r="B23" s="45"/>
      <c r="C23" s="45"/>
      <c r="D23" s="46"/>
      <c r="E23" s="31"/>
      <c r="F23" s="32" t="s">
        <v>109</v>
      </c>
      <c r="G23" s="32"/>
      <c r="H23" s="32"/>
      <c r="I23" s="34">
        <f>I22+I17</f>
        <v>250037.11466007124</v>
      </c>
    </row>
    <row r="24" spans="2:9" ht="15" customHeight="1" x14ac:dyDescent="0.2">
      <c r="B24" s="236" t="s">
        <v>95</v>
      </c>
      <c r="C24" s="236"/>
      <c r="D24" s="238"/>
      <c r="E24" s="31"/>
      <c r="F24" s="30" t="s">
        <v>110</v>
      </c>
      <c r="G24" s="31"/>
      <c r="H24" s="31"/>
      <c r="I24" s="54">
        <f>('Balance Sheet Forecast'!E33-'Balance Sheet Forecast'!E6)</f>
        <v>33128</v>
      </c>
    </row>
    <row r="25" spans="2:9" ht="15" customHeight="1" x14ac:dyDescent="0.2">
      <c r="B25" s="30" t="s">
        <v>93</v>
      </c>
      <c r="C25" s="30"/>
      <c r="D25" s="56">
        <v>4.4400000000000002E-2</v>
      </c>
      <c r="E25" s="31"/>
      <c r="F25" s="32" t="s">
        <v>111</v>
      </c>
      <c r="G25" s="32"/>
      <c r="H25" s="32"/>
      <c r="I25" s="34">
        <f>SUM(I23:I24)</f>
        <v>283165.11466007121</v>
      </c>
    </row>
    <row r="26" spans="2:9" ht="15" customHeight="1" x14ac:dyDescent="0.2">
      <c r="B26" s="30" t="s">
        <v>71</v>
      </c>
      <c r="C26" s="30"/>
      <c r="D26" s="57">
        <v>1.56</v>
      </c>
      <c r="E26" s="31"/>
      <c r="F26" s="30" t="s">
        <v>112</v>
      </c>
      <c r="G26" s="31"/>
      <c r="H26" s="31"/>
      <c r="I26" s="55">
        <v>1800</v>
      </c>
    </row>
    <row r="27" spans="2:9" ht="15" customHeight="1" x14ac:dyDescent="0.2">
      <c r="B27" s="131" t="s">
        <v>308</v>
      </c>
      <c r="C27" s="30"/>
      <c r="D27" s="56">
        <v>8.5000000000000006E-2</v>
      </c>
      <c r="E27" s="31"/>
      <c r="F27" s="31"/>
      <c r="G27" s="31"/>
      <c r="H27" s="31"/>
      <c r="I27" s="31"/>
    </row>
    <row r="28" spans="2:9" ht="15" customHeight="1" x14ac:dyDescent="0.2">
      <c r="B28" s="32" t="s">
        <v>94</v>
      </c>
      <c r="C28" s="32"/>
      <c r="D28" s="197">
        <f>D25+D26*(D27-D25)</f>
        <v>0.107736</v>
      </c>
      <c r="E28" s="31"/>
      <c r="F28" s="60" t="s">
        <v>70</v>
      </c>
      <c r="G28" s="60"/>
      <c r="H28" s="60"/>
      <c r="I28" s="61">
        <f>I25/I26</f>
        <v>157.31395258892846</v>
      </c>
    </row>
    <row r="29" spans="2:9" ht="15" customHeight="1" x14ac:dyDescent="0.2">
      <c r="B29" s="45"/>
      <c r="C29" s="45"/>
      <c r="D29" s="48"/>
      <c r="E29" s="31"/>
      <c r="F29" s="187" t="s">
        <v>309</v>
      </c>
      <c r="G29" s="188"/>
      <c r="H29" s="188"/>
      <c r="I29" s="243">
        <v>119.54</v>
      </c>
    </row>
    <row r="30" spans="2:9" ht="15" customHeight="1" x14ac:dyDescent="0.2">
      <c r="B30" s="239" t="s">
        <v>96</v>
      </c>
      <c r="C30" s="240" t="s">
        <v>99</v>
      </c>
      <c r="D30" s="241" t="s">
        <v>101</v>
      </c>
      <c r="E30" s="31"/>
      <c r="F30" s="189" t="s">
        <v>310</v>
      </c>
      <c r="G30" s="189"/>
      <c r="H30" s="189"/>
      <c r="I30" s="196">
        <f>(I28/I29)-1</f>
        <v>0.31599424953093891</v>
      </c>
    </row>
    <row r="31" spans="2:9" ht="15" customHeight="1" x14ac:dyDescent="0.2">
      <c r="B31" s="30" t="s">
        <v>97</v>
      </c>
      <c r="C31" s="91">
        <f>D19</f>
        <v>39130</v>
      </c>
      <c r="D31" s="44">
        <f>C31/C33</f>
        <v>0.15397631133671744</v>
      </c>
      <c r="E31" s="31"/>
      <c r="F31" s="31"/>
      <c r="G31" s="31"/>
      <c r="H31" s="31"/>
      <c r="I31" s="31"/>
    </row>
    <row r="32" spans="2:9" ht="15" customHeight="1" x14ac:dyDescent="0.2">
      <c r="B32" s="30" t="s">
        <v>98</v>
      </c>
      <c r="C32" s="55">
        <v>215000</v>
      </c>
      <c r="D32" s="198">
        <f>1-D31</f>
        <v>0.84602368866328259</v>
      </c>
      <c r="E32" s="31"/>
      <c r="F32" s="31"/>
      <c r="G32" s="31"/>
      <c r="H32" s="31"/>
      <c r="I32" s="31"/>
    </row>
    <row r="33" spans="1:15" ht="15" customHeight="1" x14ac:dyDescent="0.2">
      <c r="B33" s="32" t="s">
        <v>100</v>
      </c>
      <c r="C33" s="34">
        <f>SUM(C31:C32)</f>
        <v>254130</v>
      </c>
      <c r="D33" s="197">
        <f>SUM(D31:D32)</f>
        <v>1</v>
      </c>
      <c r="E33" s="31"/>
      <c r="F33" s="31"/>
      <c r="G33" s="228" t="s">
        <v>319</v>
      </c>
      <c r="H33" s="231" t="s">
        <v>320</v>
      </c>
      <c r="I33" s="232">
        <v>1</v>
      </c>
    </row>
    <row r="34" spans="1:15" ht="15" customHeight="1" x14ac:dyDescent="0.2">
      <c r="B34" s="45"/>
      <c r="C34" s="49"/>
      <c r="D34" s="48"/>
      <c r="E34" s="31"/>
      <c r="F34" s="31"/>
      <c r="G34" s="229" t="s">
        <v>321</v>
      </c>
      <c r="H34" s="230"/>
      <c r="I34" s="233" t="str">
        <f>CHOOSE(I33, "Base", "Bear", "Bull")</f>
        <v>Base</v>
      </c>
    </row>
    <row r="35" spans="1:15" ht="15" customHeight="1" x14ac:dyDescent="0.2">
      <c r="B35" s="60" t="s">
        <v>102</v>
      </c>
      <c r="C35" s="62"/>
      <c r="D35" s="186">
        <f>(D22*D31)+(D28*D32)</f>
        <v>9.2931313836054616E-2</v>
      </c>
      <c r="E35" s="31"/>
      <c r="F35" s="31"/>
      <c r="G35" s="31"/>
      <c r="H35" s="31"/>
      <c r="I35" s="31"/>
    </row>
    <row r="36" spans="1:15" ht="15" customHeight="1" x14ac:dyDescent="0.2">
      <c r="B36" s="45"/>
      <c r="C36" s="30"/>
      <c r="D36" s="31"/>
      <c r="E36" s="31"/>
      <c r="F36" s="31"/>
      <c r="G36" s="31"/>
      <c r="H36" s="31"/>
      <c r="I36" s="31"/>
    </row>
    <row r="37" spans="1:15" ht="15" customHeight="1" x14ac:dyDescent="0.2">
      <c r="A37" s="106" t="s">
        <v>121</v>
      </c>
      <c r="B37" s="42" t="s">
        <v>122</v>
      </c>
      <c r="C37" s="41"/>
      <c r="D37" s="41"/>
      <c r="E37" s="41"/>
      <c r="F37" s="41"/>
      <c r="G37" s="41"/>
      <c r="H37" s="41"/>
      <c r="I37" s="41"/>
    </row>
    <row r="38" spans="1:15" ht="15.75" customHeight="1" x14ac:dyDescent="0.2">
      <c r="B38" s="17"/>
      <c r="C38" s="17"/>
      <c r="D38" s="93"/>
      <c r="E38" s="93"/>
      <c r="F38" s="93"/>
      <c r="G38" s="93"/>
      <c r="H38" s="93"/>
      <c r="I38" s="18"/>
      <c r="J38" s="18"/>
      <c r="K38" s="18"/>
      <c r="L38" s="18"/>
      <c r="M38" s="18"/>
      <c r="N38" s="18"/>
      <c r="O38" s="17"/>
    </row>
    <row r="39" spans="1:15" ht="15.75" customHeight="1" x14ac:dyDescent="0.2">
      <c r="B39" s="193"/>
      <c r="C39" s="191" t="s">
        <v>311</v>
      </c>
      <c r="D39" s="244" t="s">
        <v>123</v>
      </c>
      <c r="E39" s="244"/>
      <c r="F39" s="244"/>
      <c r="G39" s="244"/>
      <c r="H39" s="244"/>
      <c r="I39" s="64"/>
      <c r="J39" s="64"/>
      <c r="K39" s="5"/>
      <c r="L39" s="5"/>
      <c r="M39" s="5"/>
      <c r="N39" s="5"/>
      <c r="O39" s="17"/>
    </row>
    <row r="40" spans="1:15" ht="15.75" customHeight="1" x14ac:dyDescent="0.2">
      <c r="B40" s="194"/>
      <c r="C40" s="192">
        <f>I28</f>
        <v>157.31395258892846</v>
      </c>
      <c r="D40" s="201">
        <v>0.02</v>
      </c>
      <c r="E40" s="202">
        <f>+D40+0.5%</f>
        <v>2.5000000000000001E-2</v>
      </c>
      <c r="F40" s="202">
        <f t="shared" ref="F40:H40" si="3">+E40+0.5%</f>
        <v>3.0000000000000002E-2</v>
      </c>
      <c r="G40" s="202">
        <f t="shared" si="3"/>
        <v>3.5000000000000003E-2</v>
      </c>
      <c r="H40" s="202">
        <f t="shared" si="3"/>
        <v>0.04</v>
      </c>
      <c r="I40" s="65"/>
      <c r="J40" s="65"/>
      <c r="K40" s="19"/>
      <c r="L40" s="19"/>
      <c r="M40" s="19"/>
      <c r="N40" s="19"/>
      <c r="O40" s="17"/>
    </row>
    <row r="41" spans="1:15" ht="15.75" customHeight="1" x14ac:dyDescent="0.2">
      <c r="B41" s="245" t="s">
        <v>102</v>
      </c>
      <c r="C41" s="200">
        <f>C42-0.5%</f>
        <v>7.2899999999999979E-2</v>
      </c>
      <c r="D41" s="71">
        <f t="dataTable" ref="D41:H49" dt2D="1" dtr="1" r1="I18" r2="D35"/>
        <v>188.31602271234144</v>
      </c>
      <c r="E41" s="71">
        <v>203.36791687343694</v>
      </c>
      <c r="F41" s="71">
        <v>221.92841107208392</v>
      </c>
      <c r="G41" s="71">
        <v>245.38613329148205</v>
      </c>
      <c r="H41" s="71">
        <v>275.97386226449663</v>
      </c>
      <c r="I41" s="65"/>
      <c r="J41" s="65"/>
      <c r="K41" s="19"/>
      <c r="L41" s="19"/>
      <c r="M41" s="19"/>
      <c r="N41" s="19"/>
      <c r="O41" s="17"/>
    </row>
    <row r="42" spans="1:15" ht="15.75" customHeight="1" x14ac:dyDescent="0.2">
      <c r="B42" s="245"/>
      <c r="C42" s="200">
        <f>C43-0.5%</f>
        <v>7.7899999999999983E-2</v>
      </c>
      <c r="D42" s="71">
        <v>173.59962258448482</v>
      </c>
      <c r="E42" s="71">
        <v>185.82243647384448</v>
      </c>
      <c r="F42" s="71">
        <v>200.59698603947965</v>
      </c>
      <c r="G42" s="71">
        <v>218.81548655281529</v>
      </c>
      <c r="H42" s="71">
        <v>241.84097928602847</v>
      </c>
      <c r="I42" s="65"/>
      <c r="J42" s="65"/>
      <c r="K42" s="19"/>
      <c r="L42" s="19"/>
      <c r="M42" s="19"/>
      <c r="N42" s="19"/>
      <c r="O42" s="17"/>
    </row>
    <row r="43" spans="1:15" ht="15.75" customHeight="1" x14ac:dyDescent="0.2">
      <c r="B43" s="245"/>
      <c r="C43" s="200">
        <f>+C44-0.5%</f>
        <v>8.2899999999999988E-2</v>
      </c>
      <c r="D43" s="71">
        <v>161.29559280645228</v>
      </c>
      <c r="E43" s="71">
        <v>171.38665071586433</v>
      </c>
      <c r="F43" s="71">
        <v>183.38528100890827</v>
      </c>
      <c r="G43" s="71">
        <v>197.88884455728487</v>
      </c>
      <c r="H43" s="71">
        <v>215.77319214957217</v>
      </c>
      <c r="I43" s="64"/>
      <c r="J43" s="64"/>
      <c r="K43" s="5"/>
      <c r="L43" s="17"/>
      <c r="M43" s="17"/>
      <c r="N43" s="20"/>
      <c r="O43" s="17"/>
    </row>
    <row r="44" spans="1:15" ht="15.75" customHeight="1" x14ac:dyDescent="0.2">
      <c r="B44" s="245"/>
      <c r="C44" s="200">
        <f>C45-0.5%</f>
        <v>8.7899999999999992E-2</v>
      </c>
      <c r="D44" s="71">
        <v>150.86886173203794</v>
      </c>
      <c r="E44" s="94">
        <v>159.31664952148716</v>
      </c>
      <c r="F44" s="94">
        <v>169.22346801723154</v>
      </c>
      <c r="G44" s="94">
        <v>181.00303103012988</v>
      </c>
      <c r="H44" s="71">
        <v>195.24179300187967</v>
      </c>
      <c r="I44" s="64"/>
      <c r="J44" s="64"/>
      <c r="K44" s="5"/>
      <c r="L44" s="5"/>
      <c r="M44" s="5"/>
      <c r="N44" s="5"/>
      <c r="O44" s="17"/>
    </row>
    <row r="45" spans="1:15" ht="15.75" customHeight="1" x14ac:dyDescent="0.2">
      <c r="B45" s="245"/>
      <c r="C45" s="200">
        <f>9.29%</f>
        <v>9.2899999999999996E-2</v>
      </c>
      <c r="D45" s="71">
        <v>141.93122631332301</v>
      </c>
      <c r="E45" s="94">
        <v>149.08772038814109</v>
      </c>
      <c r="F45" s="95">
        <v>157.38197186754078</v>
      </c>
      <c r="G45" s="94">
        <v>167.10873655581776</v>
      </c>
      <c r="H45" s="71">
        <v>178.67420912467642</v>
      </c>
      <c r="I45" s="63"/>
      <c r="J45" s="63"/>
      <c r="K45" s="17"/>
      <c r="L45" s="17"/>
      <c r="M45" s="17"/>
      <c r="N45" s="17"/>
      <c r="O45" s="17"/>
    </row>
    <row r="46" spans="1:15" ht="15.75" customHeight="1" x14ac:dyDescent="0.2">
      <c r="B46" s="245"/>
      <c r="C46" s="200">
        <f>+C45+0.5%</f>
        <v>9.7900000000000001E-2</v>
      </c>
      <c r="D46" s="71">
        <v>134.19421564723987</v>
      </c>
      <c r="E46" s="94">
        <v>140.31917479192714</v>
      </c>
      <c r="F46" s="94">
        <v>147.34618977530187</v>
      </c>
      <c r="G46" s="94">
        <v>155.49037725205883</v>
      </c>
      <c r="H46" s="71">
        <v>165.04116014794485</v>
      </c>
      <c r="I46" s="63"/>
      <c r="J46" s="63"/>
      <c r="K46" s="17"/>
      <c r="L46" s="17"/>
      <c r="M46" s="17"/>
      <c r="N46" s="17"/>
      <c r="O46" s="17"/>
    </row>
    <row r="47" spans="1:15" ht="15.75" customHeight="1" x14ac:dyDescent="0.2">
      <c r="B47" s="245"/>
      <c r="C47" s="200">
        <f>+C46+0.5%</f>
        <v>0.10290000000000001</v>
      </c>
      <c r="D47" s="71">
        <v>127.43901246244215</v>
      </c>
      <c r="E47" s="71">
        <v>132.72812475258047</v>
      </c>
      <c r="F47" s="71">
        <v>138.74276684932212</v>
      </c>
      <c r="G47" s="71">
        <v>145.64321779683573</v>
      </c>
      <c r="H47" s="71">
        <v>153.64071976939127</v>
      </c>
      <c r="I47" s="63"/>
      <c r="J47" s="63"/>
      <c r="K47" s="17"/>
      <c r="L47" s="17"/>
      <c r="M47" s="17"/>
      <c r="N47" s="17"/>
      <c r="O47" s="17"/>
    </row>
    <row r="48" spans="1:15" ht="15.75" customHeight="1" x14ac:dyDescent="0.2">
      <c r="B48" s="245"/>
      <c r="C48" s="200">
        <f>+C47+0.5%</f>
        <v>0.10790000000000001</v>
      </c>
      <c r="D48" s="71">
        <v>121.49664041467717</v>
      </c>
      <c r="E48" s="71">
        <v>126.09998692882503</v>
      </c>
      <c r="F48" s="71">
        <v>131.29426367585449</v>
      </c>
      <c r="G48" s="71">
        <v>137.20106123866304</v>
      </c>
      <c r="H48" s="71">
        <v>143.97778480483075</v>
      </c>
      <c r="I48" s="63"/>
      <c r="J48" s="63"/>
      <c r="K48" s="17"/>
      <c r="L48" s="17"/>
      <c r="M48" s="17"/>
      <c r="N48" s="17"/>
      <c r="O48" s="17"/>
    </row>
    <row r="49" spans="2:15" ht="15.75" customHeight="1" x14ac:dyDescent="0.2">
      <c r="B49" s="245"/>
      <c r="C49" s="200">
        <f>+C48+0.5%</f>
        <v>0.11290000000000001</v>
      </c>
      <c r="D49" s="71">
        <v>116.23454955076041</v>
      </c>
      <c r="E49" s="71">
        <v>120.26905367512134</v>
      </c>
      <c r="F49" s="71">
        <v>124.79022898456805</v>
      </c>
      <c r="G49" s="71">
        <v>129.89178623360993</v>
      </c>
      <c r="H49" s="71">
        <v>135.69314557442715</v>
      </c>
      <c r="I49" s="63"/>
      <c r="J49" s="63"/>
      <c r="K49" s="17"/>
      <c r="L49" s="17"/>
      <c r="M49" s="17"/>
      <c r="N49" s="17"/>
      <c r="O49" s="17"/>
    </row>
    <row r="50" spans="2:15" ht="15.75" customHeight="1" x14ac:dyDescent="0.2">
      <c r="B50" s="66"/>
      <c r="C50" s="66"/>
      <c r="D50" s="63"/>
      <c r="E50" s="63"/>
      <c r="F50" s="63"/>
      <c r="G50" s="63"/>
      <c r="H50" s="63"/>
      <c r="I50" s="63"/>
      <c r="J50" s="63"/>
      <c r="K50" s="17"/>
      <c r="L50" s="17"/>
      <c r="M50" s="17"/>
      <c r="N50" s="17"/>
      <c r="O50" s="17"/>
    </row>
    <row r="51" spans="2:15" ht="15.75" customHeight="1" x14ac:dyDescent="0.2">
      <c r="B51" s="63"/>
      <c r="C51" s="63"/>
      <c r="D51" s="63"/>
      <c r="E51" s="63"/>
      <c r="F51" s="63"/>
      <c r="G51" s="63"/>
      <c r="H51" s="63"/>
      <c r="I51" s="63"/>
      <c r="J51" s="63"/>
      <c r="K51" s="17"/>
      <c r="L51" s="17"/>
      <c r="M51" s="17"/>
      <c r="N51" s="17"/>
      <c r="O51" s="17"/>
    </row>
    <row r="52" spans="2:15" ht="15.75" customHeight="1" x14ac:dyDescent="0.2">
      <c r="B52" s="63"/>
      <c r="C52" s="63"/>
      <c r="D52" s="63"/>
      <c r="E52" s="63"/>
      <c r="F52" s="63"/>
      <c r="G52" s="63"/>
      <c r="H52" s="63"/>
      <c r="I52" s="63"/>
      <c r="J52" s="63"/>
      <c r="K52" s="17"/>
      <c r="L52" s="17"/>
      <c r="M52" s="17"/>
      <c r="N52" s="17"/>
      <c r="O52" s="17"/>
    </row>
    <row r="53" spans="2:15" ht="15.75" customHeight="1" x14ac:dyDescent="0.2">
      <c r="B53" s="63"/>
      <c r="C53" s="63"/>
      <c r="D53" s="67"/>
      <c r="E53" s="63"/>
      <c r="F53" s="63"/>
      <c r="G53" s="63"/>
      <c r="H53" s="63"/>
      <c r="I53" s="63"/>
      <c r="J53" s="63"/>
      <c r="K53" s="17"/>
      <c r="L53" s="17"/>
      <c r="M53" s="17"/>
      <c r="N53" s="17"/>
      <c r="O53" s="17"/>
    </row>
    <row r="54" spans="2:15" ht="15.75" customHeight="1" x14ac:dyDescent="0.2">
      <c r="B54" s="63"/>
      <c r="C54" s="63"/>
      <c r="D54" s="63"/>
      <c r="E54" s="63"/>
      <c r="F54" s="63"/>
      <c r="G54" s="63"/>
      <c r="H54" s="63"/>
      <c r="I54" s="63"/>
      <c r="J54" s="63"/>
      <c r="K54" s="17"/>
      <c r="L54" s="17"/>
      <c r="M54" s="17"/>
      <c r="N54" s="17"/>
      <c r="O54" s="17"/>
    </row>
    <row r="55" spans="2:15" ht="15.75" customHeight="1" x14ac:dyDescent="0.2">
      <c r="B55" s="63"/>
      <c r="C55" s="63"/>
      <c r="D55" s="68"/>
      <c r="E55" s="63"/>
      <c r="F55" s="63"/>
      <c r="G55" s="63"/>
      <c r="H55" s="63"/>
      <c r="I55" s="63"/>
      <c r="J55" s="63"/>
      <c r="K55" s="17"/>
      <c r="L55" s="17"/>
      <c r="M55" s="17"/>
      <c r="N55" s="17"/>
      <c r="O55" s="17"/>
    </row>
    <row r="56" spans="2:15" ht="15.75" customHeight="1" x14ac:dyDescent="0.2">
      <c r="B56" s="63"/>
      <c r="C56" s="63"/>
      <c r="D56" s="68"/>
      <c r="E56" s="63"/>
      <c r="F56" s="63"/>
      <c r="G56" s="63"/>
      <c r="H56" s="63"/>
      <c r="I56" s="63"/>
      <c r="J56" s="63"/>
      <c r="K56" s="17"/>
      <c r="L56" s="17"/>
      <c r="M56" s="17"/>
      <c r="N56" s="17"/>
      <c r="O56" s="17"/>
    </row>
    <row r="57" spans="2:15" ht="15.75" customHeight="1" x14ac:dyDescent="0.2">
      <c r="B57" s="63"/>
      <c r="C57" s="63"/>
      <c r="D57" s="63"/>
      <c r="E57" s="63"/>
      <c r="F57" s="63"/>
      <c r="G57" s="63"/>
      <c r="H57" s="63"/>
      <c r="I57" s="63"/>
      <c r="J57" s="63"/>
      <c r="K57" s="17"/>
      <c r="L57" s="17"/>
      <c r="M57" s="17"/>
      <c r="N57" s="17"/>
      <c r="O57" s="17"/>
    </row>
    <row r="58" spans="2:15" ht="15.75" customHeight="1" x14ac:dyDescent="0.2">
      <c r="B58" s="63"/>
      <c r="C58" s="63"/>
      <c r="D58" s="69"/>
      <c r="E58" s="63"/>
      <c r="F58" s="63"/>
      <c r="G58" s="63"/>
      <c r="H58" s="63"/>
      <c r="I58" s="63"/>
      <c r="J58" s="63"/>
      <c r="K58" s="17"/>
      <c r="L58" s="17"/>
      <c r="M58" s="17"/>
      <c r="N58" s="17"/>
      <c r="O58" s="17"/>
    </row>
    <row r="59" spans="2:15" ht="15.75" customHeight="1" x14ac:dyDescent="0.2">
      <c r="B59" s="63"/>
      <c r="C59" s="63"/>
      <c r="D59" s="63"/>
      <c r="E59" s="63"/>
      <c r="F59" s="63"/>
      <c r="G59" s="63"/>
      <c r="H59" s="63"/>
      <c r="I59" s="63"/>
      <c r="J59" s="63"/>
      <c r="K59" s="17"/>
      <c r="L59" s="17"/>
      <c r="M59" s="17"/>
      <c r="N59" s="17"/>
      <c r="O59" s="17"/>
    </row>
    <row r="60" spans="2:15" ht="15.75" customHeight="1" x14ac:dyDescent="0.2">
      <c r="B60" s="63"/>
      <c r="C60" s="63"/>
      <c r="D60" s="70"/>
      <c r="E60" s="63"/>
      <c r="F60" s="63"/>
      <c r="G60" s="63"/>
      <c r="H60" s="63"/>
      <c r="I60" s="63"/>
      <c r="J60" s="63"/>
      <c r="K60" s="17"/>
      <c r="L60" s="17"/>
      <c r="M60" s="17"/>
      <c r="N60" s="17"/>
      <c r="O60" s="17"/>
    </row>
    <row r="61" spans="2:15" ht="15.75" customHeight="1" x14ac:dyDescent="0.2">
      <c r="B61" s="63"/>
      <c r="C61" s="63"/>
      <c r="D61" s="63"/>
      <c r="E61" s="63"/>
      <c r="F61" s="63"/>
      <c r="G61" s="63"/>
      <c r="H61" s="63"/>
      <c r="I61" s="63"/>
      <c r="J61" s="63"/>
      <c r="K61" s="17"/>
      <c r="L61" s="17"/>
      <c r="M61" s="17"/>
      <c r="N61" s="17"/>
      <c r="O61" s="17"/>
    </row>
    <row r="62" spans="2:15" ht="15.75" customHeight="1" x14ac:dyDescent="0.2">
      <c r="B62" s="63"/>
      <c r="C62" s="63"/>
      <c r="D62" s="71"/>
      <c r="E62" s="63"/>
      <c r="F62" s="63"/>
      <c r="G62" s="63"/>
      <c r="H62" s="63"/>
      <c r="I62" s="63"/>
      <c r="J62" s="63"/>
      <c r="K62" s="17"/>
      <c r="L62" s="17"/>
      <c r="M62" s="17"/>
      <c r="N62" s="17"/>
      <c r="O62" s="17"/>
    </row>
    <row r="63" spans="2:15" ht="15.75" customHeight="1" x14ac:dyDescent="0.2">
      <c r="B63" s="63"/>
      <c r="C63" s="63"/>
      <c r="D63" s="63"/>
      <c r="E63" s="63"/>
      <c r="F63" s="63"/>
      <c r="G63" s="63"/>
      <c r="H63" s="63"/>
      <c r="I63" s="63"/>
      <c r="J63" s="63"/>
      <c r="K63" s="17"/>
      <c r="L63" s="17"/>
      <c r="M63" s="17"/>
      <c r="N63" s="17"/>
      <c r="O63" s="17"/>
    </row>
    <row r="64" spans="2:15" ht="15.75" customHeight="1" x14ac:dyDescent="0.2">
      <c r="B64" s="63"/>
      <c r="C64" s="63"/>
      <c r="D64" s="63"/>
      <c r="E64" s="63"/>
      <c r="F64" s="63"/>
      <c r="G64" s="63"/>
      <c r="H64" s="63"/>
      <c r="I64" s="63"/>
      <c r="J64" s="63"/>
      <c r="K64" s="17"/>
      <c r="L64" s="17"/>
      <c r="M64" s="17"/>
      <c r="N64" s="17"/>
      <c r="O64" s="17"/>
    </row>
    <row r="65" spans="2:15" ht="15.75" customHeight="1" x14ac:dyDescent="0.2">
      <c r="B65" s="72"/>
      <c r="C65" s="72"/>
      <c r="D65" s="72"/>
      <c r="E65" s="72"/>
      <c r="F65" s="63"/>
      <c r="G65" s="63"/>
      <c r="H65" s="63"/>
      <c r="I65" s="63"/>
      <c r="J65" s="63"/>
      <c r="K65" s="17"/>
      <c r="L65" s="17"/>
      <c r="M65" s="17"/>
      <c r="N65" s="17"/>
      <c r="O65" s="17"/>
    </row>
    <row r="66" spans="2:15" ht="15.75" customHeight="1" x14ac:dyDescent="0.2">
      <c r="B66" s="73"/>
      <c r="C66" s="73"/>
      <c r="D66" s="74"/>
      <c r="E66" s="74"/>
      <c r="F66" s="63"/>
      <c r="G66" s="63"/>
      <c r="H66" s="63"/>
      <c r="I66" s="63"/>
      <c r="J66" s="63"/>
      <c r="K66" s="17"/>
      <c r="L66" s="17"/>
      <c r="M66" s="17"/>
      <c r="N66" s="17"/>
      <c r="O66" s="17"/>
    </row>
    <row r="67" spans="2:15" ht="15.75" customHeight="1" x14ac:dyDescent="0.2">
      <c r="B67" s="73"/>
      <c r="C67" s="73"/>
      <c r="D67" s="74"/>
      <c r="E67" s="74"/>
      <c r="F67" s="63"/>
      <c r="G67" s="63"/>
      <c r="H67" s="63"/>
      <c r="I67" s="63"/>
      <c r="J67" s="63"/>
      <c r="K67" s="17"/>
      <c r="L67" s="17"/>
      <c r="M67" s="17"/>
      <c r="N67" s="17"/>
      <c r="O67" s="17"/>
    </row>
    <row r="68" spans="2:15" ht="15.75" customHeight="1" x14ac:dyDescent="0.2">
      <c r="B68" s="75"/>
      <c r="C68" s="75"/>
      <c r="D68" s="76"/>
      <c r="E68" s="77"/>
      <c r="F68" s="63"/>
      <c r="G68" s="63"/>
      <c r="H68" s="63"/>
      <c r="I68" s="63"/>
      <c r="J68" s="63"/>
      <c r="K68" s="17"/>
      <c r="L68" s="17"/>
      <c r="M68" s="17"/>
      <c r="N68" s="17"/>
      <c r="O68" s="17"/>
    </row>
    <row r="69" spans="2:15" ht="15.75" customHeight="1" x14ac:dyDescent="0.2">
      <c r="B69" s="63"/>
      <c r="C69" s="63"/>
      <c r="D69" s="63"/>
      <c r="E69" s="63"/>
      <c r="F69" s="63"/>
      <c r="G69" s="63"/>
      <c r="H69" s="63"/>
      <c r="I69" s="63"/>
      <c r="J69" s="63"/>
      <c r="K69" s="17"/>
      <c r="L69" s="17"/>
      <c r="M69" s="17"/>
      <c r="N69" s="17"/>
      <c r="O69" s="17"/>
    </row>
    <row r="70" spans="2:15" ht="15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2:15" ht="15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2:15" ht="15.75" customHeight="1" x14ac:dyDescent="0.2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2:15" ht="15.75" customHeight="1" x14ac:dyDescent="0.2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2:15" ht="15.75" customHeight="1" x14ac:dyDescent="0.2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2:15" ht="15.75" customHeight="1" x14ac:dyDescent="0.2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2:15" ht="15.75" customHeight="1" x14ac:dyDescent="0.2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15" ht="15.75" customHeight="1" x14ac:dyDescent="0.2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2:15" ht="15.75" customHeight="1" x14ac:dyDescent="0.2"/>
    <row r="79" spans="2:15" ht="15.75" customHeight="1" x14ac:dyDescent="0.2"/>
    <row r="80" spans="2:1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</sheetData>
  <mergeCells count="2">
    <mergeCell ref="D39:H39"/>
    <mergeCell ref="B41:B49"/>
  </mergeCells>
  <dataValidations count="1">
    <dataValidation type="list" allowBlank="1" showInputMessage="1" showErrorMessage="1" sqref="I33" xr:uid="{9A22EFB6-5FEA-1846-855E-0C09F5B812F6}">
      <formula1>"1,2,3"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72"/>
  <sheetViews>
    <sheetView showGridLines="0" zoomScale="112" workbookViewId="0">
      <pane xSplit="1" topLeftCell="B1" activePane="topRight" state="frozen"/>
      <selection pane="topRight" activeCell="I13" sqref="I13"/>
    </sheetView>
  </sheetViews>
  <sheetFormatPr baseColWidth="10" defaultColWidth="11.1640625" defaultRowHeight="15" customHeight="1" x14ac:dyDescent="0.2"/>
  <cols>
    <col min="1" max="1" width="35" customWidth="1"/>
    <col min="2" max="11" width="9.5" customWidth="1"/>
    <col min="12" max="12" width="11.6640625" customWidth="1"/>
    <col min="13" max="13" width="12.33203125" customWidth="1"/>
    <col min="14" max="23" width="9.5" customWidth="1"/>
  </cols>
  <sheetData>
    <row r="1" spans="1:23" ht="15.75" customHeight="1" x14ac:dyDescent="0.2">
      <c r="A1" s="6"/>
      <c r="B1" s="6"/>
      <c r="C1" s="6"/>
      <c r="D1" s="6"/>
      <c r="E1" s="6"/>
      <c r="F1" s="6"/>
      <c r="G1" s="246"/>
      <c r="H1" s="247"/>
      <c r="I1" s="247"/>
      <c r="J1" s="247"/>
      <c r="K1" s="248"/>
      <c r="L1" s="249"/>
      <c r="M1" s="249"/>
      <c r="N1" s="249"/>
      <c r="O1" s="249"/>
      <c r="P1" s="7"/>
      <c r="Q1" s="6"/>
      <c r="R1" s="6"/>
      <c r="S1" s="6"/>
      <c r="T1" s="8"/>
      <c r="U1" s="8"/>
      <c r="V1" s="8"/>
      <c r="W1" s="8"/>
    </row>
    <row r="2" spans="1:23" ht="15.75" customHeight="1" x14ac:dyDescent="0.2">
      <c r="A2" s="79" t="s">
        <v>113</v>
      </c>
      <c r="B2" s="80" t="s">
        <v>0</v>
      </c>
      <c r="C2" s="80" t="s">
        <v>1</v>
      </c>
      <c r="D2" s="80" t="s">
        <v>2</v>
      </c>
      <c r="E2" s="80" t="s">
        <v>3</v>
      </c>
      <c r="F2" s="80" t="s">
        <v>288</v>
      </c>
      <c r="G2" s="80" t="s">
        <v>4</v>
      </c>
      <c r="H2" s="80" t="s">
        <v>5</v>
      </c>
      <c r="I2" s="80" t="s">
        <v>6</v>
      </c>
      <c r="J2" s="80" t="s">
        <v>7</v>
      </c>
      <c r="K2" s="1"/>
      <c r="L2" s="1"/>
      <c r="M2" s="1"/>
      <c r="N2" s="1"/>
      <c r="O2" s="1"/>
      <c r="P2" s="7"/>
      <c r="Q2" s="6"/>
      <c r="R2" s="6"/>
      <c r="S2" s="6"/>
      <c r="T2" s="8"/>
      <c r="U2" s="8"/>
      <c r="V2" s="8"/>
      <c r="W2" s="8"/>
    </row>
    <row r="3" spans="1:23" ht="15.75" customHeight="1" x14ac:dyDescent="0.2">
      <c r="A3" s="14"/>
      <c r="B3" s="78"/>
      <c r="C3" s="78"/>
      <c r="D3" s="78"/>
      <c r="E3" s="78"/>
      <c r="F3" s="78"/>
      <c r="G3" s="78"/>
      <c r="H3" s="78"/>
      <c r="I3" s="78"/>
      <c r="J3" s="78"/>
      <c r="K3" s="1"/>
      <c r="L3" s="1"/>
      <c r="M3" s="1"/>
      <c r="N3" s="1"/>
      <c r="O3" s="1"/>
      <c r="P3" s="14"/>
      <c r="Q3" s="14"/>
      <c r="R3" s="14"/>
      <c r="S3" s="14"/>
      <c r="T3" s="8"/>
      <c r="U3" s="8"/>
      <c r="V3" s="8"/>
      <c r="W3" s="8"/>
    </row>
    <row r="4" spans="1:23" ht="15.75" customHeight="1" x14ac:dyDescent="0.2">
      <c r="A4" s="208" t="s">
        <v>114</v>
      </c>
      <c r="B4" s="218"/>
      <c r="C4" s="218"/>
      <c r="D4" s="218"/>
      <c r="E4" s="218"/>
      <c r="F4" s="218"/>
      <c r="G4" s="218"/>
      <c r="H4" s="218"/>
      <c r="I4" s="218"/>
      <c r="J4" s="218"/>
      <c r="K4" s="1"/>
      <c r="L4" s="1"/>
      <c r="M4" s="1"/>
      <c r="N4" s="1"/>
      <c r="O4" s="1"/>
      <c r="P4" s="14"/>
      <c r="Q4" s="14"/>
      <c r="R4" s="14"/>
      <c r="S4" s="14"/>
      <c r="T4" s="8"/>
      <c r="U4" s="8"/>
      <c r="V4" s="8"/>
      <c r="W4" s="8"/>
    </row>
    <row r="5" spans="1:23" ht="15.75" customHeight="1" x14ac:dyDescent="0.2">
      <c r="A5" s="87"/>
      <c r="B5" s="78"/>
      <c r="C5" s="78"/>
      <c r="D5" s="78"/>
      <c r="E5" s="78"/>
      <c r="F5" s="78"/>
      <c r="G5" s="78"/>
      <c r="H5" s="78"/>
      <c r="I5" s="78"/>
      <c r="J5" s="78"/>
      <c r="K5" s="1"/>
      <c r="L5" s="1"/>
      <c r="M5" s="227"/>
      <c r="N5" s="226"/>
      <c r="O5" s="1"/>
      <c r="P5" s="87"/>
      <c r="Q5" s="87"/>
      <c r="R5" s="87"/>
      <c r="S5" s="87"/>
      <c r="T5" s="15"/>
      <c r="U5" s="15"/>
      <c r="V5" s="15"/>
      <c r="W5" s="15"/>
    </row>
    <row r="6" spans="1:23" ht="15.75" customHeight="1" x14ac:dyDescent="0.2">
      <c r="A6" s="212" t="s">
        <v>41</v>
      </c>
      <c r="B6" s="78"/>
      <c r="C6" s="78"/>
      <c r="D6" s="78"/>
      <c r="E6" s="78"/>
      <c r="F6" s="78"/>
      <c r="G6" s="78"/>
      <c r="H6" s="78"/>
      <c r="I6" s="78"/>
      <c r="J6" s="78"/>
      <c r="K6" s="1"/>
      <c r="L6" s="1"/>
      <c r="M6" s="1"/>
      <c r="N6" s="226"/>
      <c r="O6" s="1"/>
      <c r="P6" s="14"/>
      <c r="Q6" s="14"/>
      <c r="R6" s="14"/>
      <c r="S6" s="14"/>
      <c r="T6" s="8"/>
      <c r="U6" s="8"/>
      <c r="V6" s="8"/>
      <c r="W6" s="8"/>
    </row>
    <row r="7" spans="1:23" ht="15.75" customHeight="1" x14ac:dyDescent="0.2">
      <c r="A7" s="205" t="s">
        <v>313</v>
      </c>
      <c r="B7" s="22"/>
      <c r="C7" s="22">
        <f>'Income Statement Forecast'!$C$6/'Income Statement Forecast'!$B$6-1</f>
        <v>0.22700169094307165</v>
      </c>
      <c r="D7" s="22">
        <f>'Income Statement Forecast'!$D$6/'Income Statement Forecast'!$C$6-1</f>
        <v>7.4659703585503223E-2</v>
      </c>
      <c r="E7" s="22">
        <f>'Income Statement Forecast'!$E$6/'Income Statement Forecast'!$D$6-1</f>
        <v>2.7705910144210311E-2</v>
      </c>
      <c r="F7" s="174">
        <v>0.03</v>
      </c>
      <c r="G7" s="174">
        <v>0.04</v>
      </c>
      <c r="H7" s="174">
        <v>0.04</v>
      </c>
      <c r="I7" s="174">
        <v>3.5000000000000003E-2</v>
      </c>
      <c r="J7" s="174">
        <v>2.5000000000000001E-2</v>
      </c>
      <c r="K7" s="9"/>
      <c r="L7" s="9"/>
      <c r="M7" s="9"/>
      <c r="N7" s="226"/>
      <c r="O7" s="9"/>
      <c r="P7" s="10"/>
      <c r="Q7" s="6"/>
      <c r="R7" s="6"/>
      <c r="S7" s="6"/>
      <c r="T7" s="8"/>
      <c r="U7" s="8"/>
      <c r="V7" s="8"/>
      <c r="W7" s="8"/>
    </row>
    <row r="8" spans="1:23" ht="15.75" customHeight="1" x14ac:dyDescent="0.2">
      <c r="A8" s="206" t="s">
        <v>314</v>
      </c>
      <c r="B8" s="23"/>
      <c r="C8" s="22"/>
      <c r="D8" s="22"/>
      <c r="E8" s="22"/>
      <c r="F8" s="175">
        <v>0.01</v>
      </c>
      <c r="G8" s="175">
        <v>0.01</v>
      </c>
      <c r="H8" s="175">
        <v>0.01</v>
      </c>
      <c r="I8" s="175">
        <v>0.02</v>
      </c>
      <c r="J8" s="175">
        <v>0.02</v>
      </c>
      <c r="K8" s="9"/>
      <c r="L8" s="9"/>
      <c r="M8" s="9"/>
      <c r="N8" s="9"/>
      <c r="O8" s="9"/>
      <c r="P8" s="21"/>
      <c r="Q8" s="14"/>
      <c r="R8" s="14"/>
      <c r="S8" s="14"/>
      <c r="T8" s="8"/>
      <c r="U8" s="8"/>
      <c r="V8" s="8"/>
      <c r="W8" s="8"/>
    </row>
    <row r="9" spans="1:23" ht="15.75" customHeight="1" x14ac:dyDescent="0.2">
      <c r="A9" s="206" t="s">
        <v>315</v>
      </c>
      <c r="B9" s="23" t="s">
        <v>316</v>
      </c>
      <c r="C9" s="22"/>
      <c r="D9" s="22"/>
      <c r="E9" s="22"/>
      <c r="F9" s="175">
        <v>0.04</v>
      </c>
      <c r="G9" s="175">
        <v>0.04</v>
      </c>
      <c r="H9" s="175">
        <v>0.04</v>
      </c>
      <c r="I9" s="175">
        <v>4.4999999999999998E-2</v>
      </c>
      <c r="J9" s="175">
        <v>0.05</v>
      </c>
      <c r="K9" s="9"/>
      <c r="L9" s="9"/>
      <c r="M9" s="9"/>
      <c r="N9" s="9"/>
      <c r="O9" s="9"/>
      <c r="P9" s="21"/>
      <c r="Q9" s="14"/>
      <c r="R9" s="14"/>
      <c r="S9" s="14"/>
      <c r="T9" s="8"/>
      <c r="U9" s="8"/>
      <c r="V9" s="8"/>
      <c r="W9" s="8"/>
    </row>
    <row r="10" spans="1:23" ht="15.75" customHeight="1" x14ac:dyDescent="0.2">
      <c r="A10" s="206"/>
      <c r="B10" s="23"/>
      <c r="C10" s="23"/>
      <c r="D10" s="23"/>
      <c r="E10" s="23"/>
      <c r="F10" s="234"/>
      <c r="G10" s="234"/>
      <c r="H10" s="234"/>
      <c r="I10" s="234"/>
      <c r="J10" s="234"/>
      <c r="K10" s="9"/>
      <c r="L10" s="9"/>
      <c r="M10" s="9"/>
      <c r="N10" s="9"/>
      <c r="O10" s="9"/>
      <c r="P10" s="21"/>
      <c r="Q10" s="14"/>
      <c r="R10" s="14"/>
      <c r="S10" s="14"/>
      <c r="T10" s="8"/>
      <c r="U10" s="8"/>
      <c r="V10" s="8"/>
      <c r="W10" s="8"/>
    </row>
    <row r="11" spans="1:23" ht="15.75" customHeight="1" x14ac:dyDescent="0.2">
      <c r="A11" s="210" t="s">
        <v>42</v>
      </c>
      <c r="B11" s="23"/>
      <c r="C11" s="23"/>
      <c r="D11" s="23"/>
      <c r="E11" s="23"/>
      <c r="F11" s="204"/>
      <c r="G11" s="204"/>
      <c r="H11" s="204"/>
      <c r="I11" s="204"/>
      <c r="J11" s="204"/>
      <c r="K11" s="9"/>
      <c r="L11" s="9"/>
      <c r="M11" s="9"/>
      <c r="N11" s="1"/>
      <c r="O11" s="1"/>
      <c r="P11" s="21"/>
      <c r="Q11" s="14"/>
      <c r="R11" s="14"/>
      <c r="S11" s="14"/>
      <c r="T11" s="8"/>
      <c r="U11" s="8"/>
      <c r="V11" s="8"/>
      <c r="W11" s="8"/>
    </row>
    <row r="12" spans="1:23" ht="15.75" customHeight="1" x14ac:dyDescent="0.2">
      <c r="A12" s="205" t="s">
        <v>313</v>
      </c>
      <c r="B12" s="22">
        <f>'Income Statement Forecast'!$B$7/'Income Statement Forecast'!$B$6</f>
        <v>0.66942062950547332</v>
      </c>
      <c r="C12" s="22">
        <f>'Income Statement Forecast'!$C$7/'Income Statement Forecast'!$C$6</f>
        <v>0.65763642078286311</v>
      </c>
      <c r="D12" s="22">
        <f>'Income Statement Forecast'!$D$7/'Income Statement Forecast'!$D$6</f>
        <v>0.66594299084343855</v>
      </c>
      <c r="E12" s="22">
        <f>'Income Statement Forecast'!$E$7/'Income Statement Forecast'!$E$6</f>
        <v>0.64248421098718267</v>
      </c>
      <c r="F12" s="174">
        <v>0.65</v>
      </c>
      <c r="G12" s="174">
        <v>0.63</v>
      </c>
      <c r="H12" s="174">
        <v>0.62</v>
      </c>
      <c r="I12" s="174">
        <v>0.62</v>
      </c>
      <c r="J12" s="174">
        <v>0.6</v>
      </c>
      <c r="K12" s="9"/>
      <c r="L12" s="9"/>
      <c r="M12" s="9"/>
      <c r="N12" s="1"/>
      <c r="O12" s="1"/>
      <c r="P12" s="10"/>
      <c r="Q12" s="6"/>
      <c r="R12" s="6"/>
      <c r="S12" s="6"/>
      <c r="T12" s="8"/>
      <c r="U12" s="8"/>
      <c r="V12" s="8"/>
      <c r="W12" s="8"/>
    </row>
    <row r="13" spans="1:23" ht="15.75" customHeight="1" x14ac:dyDescent="0.2">
      <c r="A13" s="206" t="s">
        <v>314</v>
      </c>
      <c r="B13" s="22"/>
      <c r="C13" s="22"/>
      <c r="D13" s="22"/>
      <c r="E13" s="22"/>
      <c r="F13" s="175">
        <v>0.65</v>
      </c>
      <c r="G13" s="175">
        <v>0.65</v>
      </c>
      <c r="H13" s="175">
        <v>0.66</v>
      </c>
      <c r="I13" s="175">
        <v>0.67</v>
      </c>
      <c r="J13" s="175">
        <v>0.68</v>
      </c>
      <c r="K13" s="9"/>
      <c r="L13" s="9"/>
      <c r="M13" s="9"/>
      <c r="N13" s="1"/>
      <c r="O13" s="227"/>
      <c r="P13" s="21"/>
      <c r="Q13" s="14"/>
      <c r="R13" s="14"/>
      <c r="S13" s="14"/>
      <c r="T13" s="8"/>
      <c r="U13" s="8"/>
      <c r="V13" s="8"/>
      <c r="W13" s="8"/>
    </row>
    <row r="14" spans="1:23" ht="15.75" customHeight="1" x14ac:dyDescent="0.2">
      <c r="A14" s="206" t="s">
        <v>315</v>
      </c>
      <c r="B14" s="22"/>
      <c r="C14" s="22"/>
      <c r="D14" s="22"/>
      <c r="E14" s="22"/>
      <c r="F14" s="175">
        <v>0.63</v>
      </c>
      <c r="G14" s="175">
        <v>0.57999999999999996</v>
      </c>
      <c r="H14" s="175">
        <v>0.56999999999999995</v>
      </c>
      <c r="I14" s="175">
        <v>0.56999999999999995</v>
      </c>
      <c r="J14" s="175">
        <v>0.56000000000000005</v>
      </c>
      <c r="K14" s="9"/>
      <c r="L14" s="9"/>
      <c r="M14" s="9"/>
      <c r="N14" s="9"/>
      <c r="O14" s="9"/>
      <c r="P14" s="21"/>
      <c r="Q14" s="14"/>
      <c r="R14" s="14"/>
      <c r="S14" s="14"/>
      <c r="T14" s="8"/>
      <c r="U14" s="8"/>
      <c r="V14" s="8"/>
      <c r="W14" s="8"/>
    </row>
    <row r="15" spans="1:23" ht="15.75" customHeight="1" x14ac:dyDescent="0.2">
      <c r="A15" s="206"/>
      <c r="B15" s="23"/>
      <c r="C15" s="23"/>
      <c r="D15" s="23"/>
      <c r="E15" s="23"/>
      <c r="F15" s="204"/>
      <c r="G15" s="204"/>
      <c r="H15" s="204"/>
      <c r="I15" s="204"/>
      <c r="J15" s="204"/>
      <c r="K15" s="9"/>
      <c r="L15" s="9"/>
      <c r="M15" s="9"/>
      <c r="N15" s="9"/>
      <c r="O15" s="9"/>
      <c r="P15" s="21"/>
      <c r="Q15" s="14"/>
      <c r="R15" s="14"/>
      <c r="S15" s="14"/>
      <c r="T15" s="8"/>
      <c r="U15" s="8"/>
      <c r="V15" s="8"/>
      <c r="W15" s="8"/>
    </row>
    <row r="16" spans="1:23" ht="15.75" customHeight="1" x14ac:dyDescent="0.2">
      <c r="A16" s="210" t="s">
        <v>43</v>
      </c>
      <c r="B16" s="23"/>
      <c r="C16" s="23"/>
      <c r="D16" s="23"/>
      <c r="E16" s="23"/>
      <c r="F16" s="204"/>
      <c r="G16" s="204"/>
      <c r="H16" s="204"/>
      <c r="I16" s="204"/>
      <c r="J16" s="204"/>
      <c r="K16" s="9"/>
      <c r="L16" s="9"/>
      <c r="M16" s="9"/>
      <c r="N16" s="9"/>
      <c r="O16" s="9"/>
      <c r="P16" s="21"/>
      <c r="Q16" s="14"/>
      <c r="R16" s="14"/>
      <c r="S16" s="14"/>
      <c r="T16" s="8"/>
      <c r="U16" s="8"/>
      <c r="V16" s="8"/>
      <c r="W16" s="8"/>
    </row>
    <row r="17" spans="1:23" ht="15.75" customHeight="1" x14ac:dyDescent="0.2">
      <c r="A17" s="205" t="s">
        <v>313</v>
      </c>
      <c r="B17" s="22">
        <f>-'Income Statement Forecast'!$B$11/'Income Statement Forecast'!$B$6</f>
        <v>0.20049541665430598</v>
      </c>
      <c r="C17" s="22">
        <f>-'Income Statement Forecast'!$C$11/'Income Statement Forecast'!$C$6</f>
        <v>0.19810933004521167</v>
      </c>
      <c r="D17" s="22">
        <f>-'Income Statement Forecast'!$D$11/'Income Statement Forecast'!$D$6</f>
        <v>0.17251231748745754</v>
      </c>
      <c r="E17" s="22">
        <f>-'Income Statement Forecast'!$E$11/'Income Statement Forecast'!$E$6</f>
        <v>0.17249154453213078</v>
      </c>
      <c r="F17" s="174">
        <f t="shared" ref="F17:J32" si="0">E17</f>
        <v>0.17249154453213078</v>
      </c>
      <c r="G17" s="174">
        <f t="shared" si="0"/>
        <v>0.17249154453213078</v>
      </c>
      <c r="H17" s="174">
        <v>0.17</v>
      </c>
      <c r="I17" s="174">
        <f t="shared" si="0"/>
        <v>0.17</v>
      </c>
      <c r="J17" s="174">
        <f t="shared" si="0"/>
        <v>0.17</v>
      </c>
      <c r="K17" s="9"/>
      <c r="L17" s="9"/>
      <c r="M17" s="9"/>
      <c r="N17" s="9"/>
      <c r="O17" s="9"/>
      <c r="P17" s="7"/>
      <c r="Q17" s="6"/>
      <c r="R17" s="6"/>
      <c r="S17" s="6"/>
      <c r="T17" s="8"/>
      <c r="U17" s="8"/>
      <c r="V17" s="8"/>
      <c r="W17" s="8"/>
    </row>
    <row r="18" spans="1:23" ht="15.75" customHeight="1" x14ac:dyDescent="0.2">
      <c r="A18" s="206" t="s">
        <v>314</v>
      </c>
      <c r="B18" s="22"/>
      <c r="C18" s="22"/>
      <c r="D18" s="22"/>
      <c r="E18" s="22"/>
      <c r="F18" s="175">
        <v>0.18</v>
      </c>
      <c r="G18" s="175">
        <v>0.18</v>
      </c>
      <c r="H18" s="175">
        <v>0.19</v>
      </c>
      <c r="I18" s="175">
        <v>0.19</v>
      </c>
      <c r="J18" s="175">
        <v>0.19</v>
      </c>
      <c r="K18" s="9"/>
      <c r="L18" s="9"/>
      <c r="M18" s="9"/>
      <c r="N18" s="9"/>
      <c r="O18" s="9"/>
      <c r="P18" s="14"/>
      <c r="Q18" s="14"/>
      <c r="R18" s="14"/>
      <c r="S18" s="14"/>
      <c r="T18" s="8"/>
      <c r="U18" s="8"/>
      <c r="V18" s="8"/>
      <c r="W18" s="8"/>
    </row>
    <row r="19" spans="1:23" ht="15.75" customHeight="1" x14ac:dyDescent="0.2">
      <c r="A19" s="206" t="s">
        <v>315</v>
      </c>
      <c r="B19" s="22"/>
      <c r="C19" s="22"/>
      <c r="D19" s="22"/>
      <c r="E19" s="22"/>
      <c r="F19" s="175">
        <v>0.17</v>
      </c>
      <c r="G19" s="175">
        <v>0.16500000000000001</v>
      </c>
      <c r="H19" s="175">
        <v>0.16</v>
      </c>
      <c r="I19" s="175">
        <v>0.155</v>
      </c>
      <c r="J19" s="175">
        <v>0.15</v>
      </c>
      <c r="K19" s="9"/>
      <c r="L19" s="9"/>
      <c r="M19" s="9"/>
      <c r="N19" s="9"/>
      <c r="O19" s="9"/>
      <c r="P19" s="14"/>
      <c r="Q19" s="14"/>
      <c r="R19" s="14"/>
      <c r="S19" s="14"/>
      <c r="T19" s="8"/>
      <c r="U19" s="8"/>
      <c r="V19" s="8"/>
      <c r="W19" s="8"/>
    </row>
    <row r="20" spans="1:23" ht="15.75" customHeight="1" x14ac:dyDescent="0.2">
      <c r="A20" s="14"/>
      <c r="B20" s="23"/>
      <c r="C20" s="23"/>
      <c r="D20" s="23"/>
      <c r="E20" s="23"/>
      <c r="F20" s="204"/>
      <c r="G20" s="204"/>
      <c r="H20" s="204"/>
      <c r="I20" s="204"/>
      <c r="J20" s="204"/>
      <c r="K20" s="9"/>
      <c r="L20" s="9"/>
      <c r="M20" s="9"/>
      <c r="N20" s="9"/>
      <c r="O20" s="9"/>
      <c r="P20" s="14"/>
      <c r="Q20" s="14"/>
      <c r="R20" s="14"/>
      <c r="S20" s="14"/>
      <c r="T20" s="8"/>
      <c r="U20" s="8"/>
      <c r="V20" s="8"/>
      <c r="W20" s="8"/>
    </row>
    <row r="21" spans="1:23" ht="15.75" customHeight="1" x14ac:dyDescent="0.2">
      <c r="A21" s="211" t="s">
        <v>72</v>
      </c>
      <c r="B21" s="23"/>
      <c r="C21" s="23"/>
      <c r="D21" s="23"/>
      <c r="E21" s="23"/>
      <c r="F21" s="204"/>
      <c r="G21" s="204"/>
      <c r="H21" s="204"/>
      <c r="I21" s="204"/>
      <c r="J21" s="204"/>
      <c r="K21" s="9"/>
      <c r="L21" s="9"/>
      <c r="M21" s="9"/>
      <c r="N21" s="9"/>
      <c r="O21" s="9"/>
      <c r="P21" s="14"/>
      <c r="Q21" s="14"/>
      <c r="R21" s="14"/>
      <c r="S21" s="14"/>
      <c r="T21" s="8"/>
      <c r="U21" s="8"/>
      <c r="V21" s="8"/>
      <c r="W21" s="8"/>
    </row>
    <row r="22" spans="1:23" ht="15.75" customHeight="1" x14ac:dyDescent="0.2">
      <c r="A22" s="205" t="s">
        <v>313</v>
      </c>
      <c r="B22" s="23">
        <f>-'Income Statement Forecast'!$B$13/'Income Statement Forecast'!$B$6</f>
        <v>7.5810614375982674E-2</v>
      </c>
      <c r="C22" s="23">
        <f>-'Income Statement Forecast'!$C$13/'Income Statement Forecast'!$C$6</f>
        <v>6.2413868136650466E-2</v>
      </c>
      <c r="D22" s="23">
        <f>-'Income Statement Forecast'!$D$13/'Income Statement Forecast'!$D$6</f>
        <v>6.0395059506400596E-2</v>
      </c>
      <c r="E22" s="23">
        <f>-'Income Statement Forecast'!$E$13/'Income Statement Forecast'!$E$6</f>
        <v>5.4618491478858597E-2</v>
      </c>
      <c r="F22" s="174">
        <f t="shared" si="0"/>
        <v>5.4618491478858597E-2</v>
      </c>
      <c r="G22" s="174">
        <f t="shared" si="0"/>
        <v>5.4618491478858597E-2</v>
      </c>
      <c r="H22" s="174">
        <f t="shared" si="0"/>
        <v>5.4618491478858597E-2</v>
      </c>
      <c r="I22" s="174">
        <f t="shared" si="0"/>
        <v>5.4618491478858597E-2</v>
      </c>
      <c r="J22" s="174">
        <f t="shared" si="0"/>
        <v>5.4618491478858597E-2</v>
      </c>
      <c r="K22" s="9"/>
      <c r="L22" s="9"/>
      <c r="M22" s="9"/>
      <c r="N22" s="9"/>
      <c r="O22" s="9"/>
      <c r="P22" s="21"/>
      <c r="Q22" s="14"/>
      <c r="R22" s="14"/>
      <c r="S22" s="14"/>
      <c r="T22" s="8"/>
      <c r="U22" s="8"/>
      <c r="V22" s="8"/>
      <c r="W22" s="8"/>
    </row>
    <row r="23" spans="1:23" ht="15.75" customHeight="1" x14ac:dyDescent="0.2">
      <c r="A23" s="206" t="s">
        <v>314</v>
      </c>
      <c r="B23" s="23"/>
      <c r="C23" s="23"/>
      <c r="D23" s="23"/>
      <c r="E23" s="23"/>
      <c r="F23" s="175">
        <v>5.4600000000000003E-2</v>
      </c>
      <c r="G23" s="175">
        <v>0.05</v>
      </c>
      <c r="H23" s="175">
        <v>0.05</v>
      </c>
      <c r="I23" s="175">
        <v>4.4999999999999998E-2</v>
      </c>
      <c r="J23" s="175">
        <v>4.4999999999999998E-2</v>
      </c>
      <c r="K23" s="9"/>
      <c r="L23" s="9"/>
      <c r="M23" s="9"/>
      <c r="N23" s="9"/>
      <c r="O23" s="9"/>
      <c r="P23" s="21"/>
      <c r="Q23" s="14"/>
      <c r="R23" s="14"/>
      <c r="S23" s="14"/>
      <c r="T23" s="8"/>
      <c r="U23" s="8"/>
      <c r="V23" s="8"/>
      <c r="W23" s="8"/>
    </row>
    <row r="24" spans="1:23" ht="15.75" customHeight="1" x14ac:dyDescent="0.2">
      <c r="A24" s="206" t="s">
        <v>315</v>
      </c>
      <c r="B24" s="23"/>
      <c r="C24" s="23"/>
      <c r="D24" s="23"/>
      <c r="E24" s="23"/>
      <c r="F24" s="175">
        <v>5.4600000000000003E-2</v>
      </c>
      <c r="G24" s="175">
        <v>0.06</v>
      </c>
      <c r="H24" s="175">
        <v>0.06</v>
      </c>
      <c r="I24" s="175">
        <v>6.5000000000000002E-2</v>
      </c>
      <c r="J24" s="175">
        <v>6.5000000000000002E-2</v>
      </c>
      <c r="K24" s="9"/>
      <c r="L24" s="9"/>
      <c r="M24" s="9"/>
      <c r="N24" s="9"/>
      <c r="O24" s="9"/>
      <c r="P24" s="21"/>
      <c r="Q24" s="14"/>
      <c r="R24" s="14"/>
      <c r="S24" s="14"/>
      <c r="T24" s="8"/>
      <c r="U24" s="8"/>
      <c r="V24" s="8"/>
      <c r="W24" s="8"/>
    </row>
    <row r="25" spans="1:23" ht="15.75" customHeight="1" x14ac:dyDescent="0.2">
      <c r="A25" s="14"/>
      <c r="B25" s="23"/>
      <c r="C25" s="23"/>
      <c r="D25" s="23"/>
      <c r="E25" s="23"/>
      <c r="F25" s="204"/>
      <c r="G25" s="204"/>
      <c r="H25" s="204"/>
      <c r="I25" s="204"/>
      <c r="J25" s="204"/>
      <c r="K25" s="9"/>
      <c r="L25" s="9"/>
      <c r="M25" s="9"/>
      <c r="N25" s="9"/>
      <c r="O25" s="9"/>
      <c r="P25" s="21"/>
      <c r="Q25" s="14"/>
      <c r="R25" s="14"/>
      <c r="S25" s="14"/>
      <c r="T25" s="8"/>
      <c r="U25" s="8"/>
      <c r="V25" s="8"/>
      <c r="W25" s="8"/>
    </row>
    <row r="26" spans="1:23" ht="15.75" customHeight="1" x14ac:dyDescent="0.2">
      <c r="A26" s="211" t="s">
        <v>44</v>
      </c>
      <c r="B26" s="23"/>
      <c r="C26" s="23"/>
      <c r="D26" s="23"/>
      <c r="E26" s="23"/>
      <c r="F26" s="204"/>
      <c r="G26" s="204"/>
      <c r="H26" s="204"/>
      <c r="I26" s="204"/>
      <c r="J26" s="204"/>
      <c r="K26" s="9"/>
      <c r="L26" s="9"/>
      <c r="M26" s="9"/>
      <c r="N26" s="9"/>
      <c r="O26" s="9"/>
      <c r="P26" s="21"/>
      <c r="Q26" s="14"/>
      <c r="R26" s="14"/>
      <c r="S26" s="14"/>
      <c r="T26" s="8"/>
      <c r="U26" s="8"/>
      <c r="V26" s="8"/>
      <c r="W26" s="8"/>
    </row>
    <row r="27" spans="1:23" ht="15.75" customHeight="1" x14ac:dyDescent="0.2">
      <c r="A27" s="205" t="s">
        <v>313</v>
      </c>
      <c r="B27" s="213" t="s">
        <v>318</v>
      </c>
      <c r="C27" s="213" t="s">
        <v>318</v>
      </c>
      <c r="D27" s="213" t="s">
        <v>318</v>
      </c>
      <c r="E27" s="213" t="s">
        <v>318</v>
      </c>
      <c r="F27" s="174">
        <v>4.4999999999999998E-2</v>
      </c>
      <c r="G27" s="174">
        <v>4.4999999999999998E-2</v>
      </c>
      <c r="H27" s="174">
        <v>4.4999999999999998E-2</v>
      </c>
      <c r="I27" s="174">
        <v>4.4999999999999998E-2</v>
      </c>
      <c r="J27" s="174">
        <v>4.4999999999999998E-2</v>
      </c>
      <c r="K27" s="9"/>
      <c r="L27" s="9"/>
      <c r="M27" s="9"/>
      <c r="N27" s="9"/>
      <c r="O27" s="9"/>
      <c r="P27" s="7"/>
      <c r="Q27" s="6"/>
      <c r="R27" s="6"/>
      <c r="S27" s="6"/>
      <c r="T27" s="8"/>
      <c r="U27" s="8"/>
      <c r="V27" s="8"/>
      <c r="W27" s="8"/>
    </row>
    <row r="28" spans="1:23" ht="15.75" customHeight="1" x14ac:dyDescent="0.2">
      <c r="A28" s="206" t="s">
        <v>314</v>
      </c>
      <c r="B28" s="213"/>
      <c r="C28" s="213"/>
      <c r="D28" s="213"/>
      <c r="E28" s="213"/>
      <c r="F28" s="175">
        <v>4.4999999999999998E-2</v>
      </c>
      <c r="G28" s="175">
        <v>4.4999999999999998E-2</v>
      </c>
      <c r="H28" s="175">
        <v>0.03</v>
      </c>
      <c r="I28" s="175">
        <v>0.03</v>
      </c>
      <c r="J28" s="175">
        <v>0.02</v>
      </c>
      <c r="K28" s="9"/>
      <c r="L28" s="9"/>
      <c r="M28" s="9"/>
      <c r="N28" s="9"/>
      <c r="O28" s="9"/>
      <c r="P28" s="14"/>
      <c r="Q28" s="14"/>
      <c r="R28" s="14"/>
      <c r="S28" s="14"/>
      <c r="T28" s="8"/>
      <c r="U28" s="8"/>
      <c r="V28" s="8"/>
      <c r="W28" s="8"/>
    </row>
    <row r="29" spans="1:23" ht="15.75" customHeight="1" x14ac:dyDescent="0.2">
      <c r="A29" s="206" t="s">
        <v>315</v>
      </c>
      <c r="B29" s="213"/>
      <c r="C29" s="213"/>
      <c r="D29" s="213"/>
      <c r="E29" s="213"/>
      <c r="F29" s="175">
        <v>4.4999999999999998E-2</v>
      </c>
      <c r="G29" s="175">
        <v>0.05</v>
      </c>
      <c r="H29" s="175">
        <v>5.5E-2</v>
      </c>
      <c r="I29" s="175">
        <v>0.06</v>
      </c>
      <c r="J29" s="175">
        <v>6.5000000000000002E-2</v>
      </c>
      <c r="K29" s="9"/>
      <c r="L29" s="9"/>
      <c r="M29" s="9"/>
      <c r="N29" s="9"/>
      <c r="O29" s="9"/>
      <c r="P29" s="14"/>
      <c r="Q29" s="14"/>
      <c r="R29" s="14"/>
      <c r="S29" s="14"/>
      <c r="T29" s="8"/>
      <c r="U29" s="8"/>
      <c r="V29" s="8"/>
      <c r="W29" s="8"/>
    </row>
    <row r="30" spans="1:23" ht="15.75" customHeight="1" x14ac:dyDescent="0.2">
      <c r="A30" s="206"/>
      <c r="B30" s="23"/>
      <c r="C30" s="23"/>
      <c r="D30" s="23"/>
      <c r="E30" s="23"/>
      <c r="F30" s="204"/>
      <c r="G30" s="204"/>
      <c r="H30" s="204"/>
      <c r="I30" s="204"/>
      <c r="J30" s="204"/>
      <c r="K30" s="9"/>
      <c r="L30" s="9"/>
      <c r="M30" s="9"/>
      <c r="N30" s="9"/>
      <c r="O30" s="9"/>
      <c r="P30" s="14"/>
      <c r="Q30" s="14"/>
      <c r="R30" s="14"/>
      <c r="S30" s="14"/>
      <c r="T30" s="8"/>
      <c r="U30" s="8"/>
      <c r="V30" s="8"/>
      <c r="W30" s="8"/>
    </row>
    <row r="31" spans="1:23" ht="15.75" customHeight="1" x14ac:dyDescent="0.2">
      <c r="A31" s="210" t="s">
        <v>45</v>
      </c>
      <c r="B31" s="23"/>
      <c r="C31" s="23"/>
      <c r="D31" s="23"/>
      <c r="E31" s="23"/>
      <c r="F31" s="204"/>
      <c r="G31" s="204"/>
      <c r="H31" s="204"/>
      <c r="I31" s="204"/>
      <c r="J31" s="204"/>
      <c r="K31" s="9"/>
      <c r="L31" s="9"/>
      <c r="M31" s="9"/>
      <c r="N31" s="9"/>
      <c r="O31" s="9"/>
      <c r="P31" s="14"/>
      <c r="Q31" s="14"/>
      <c r="R31" s="14"/>
      <c r="S31" s="14"/>
      <c r="T31" s="8"/>
      <c r="U31" s="8"/>
      <c r="V31" s="8"/>
      <c r="W31" s="8"/>
    </row>
    <row r="32" spans="1:23" ht="15.75" customHeight="1" x14ac:dyDescent="0.2">
      <c r="A32" s="205" t="s">
        <v>313</v>
      </c>
      <c r="B32" s="213" t="s">
        <v>318</v>
      </c>
      <c r="C32" s="213" t="s">
        <v>318</v>
      </c>
      <c r="D32" s="213" t="s">
        <v>318</v>
      </c>
      <c r="E32" s="213" t="s">
        <v>318</v>
      </c>
      <c r="F32" s="174">
        <v>0.03</v>
      </c>
      <c r="G32" s="174">
        <f t="shared" si="0"/>
        <v>0.03</v>
      </c>
      <c r="H32" s="174">
        <f t="shared" si="0"/>
        <v>0.03</v>
      </c>
      <c r="I32" s="174">
        <f t="shared" si="0"/>
        <v>0.03</v>
      </c>
      <c r="J32" s="174">
        <f t="shared" si="0"/>
        <v>0.03</v>
      </c>
      <c r="K32" s="9"/>
      <c r="L32" s="9"/>
      <c r="M32" s="9"/>
      <c r="N32" s="9"/>
      <c r="O32" s="9"/>
      <c r="P32" s="10"/>
      <c r="Q32" s="6"/>
      <c r="R32" s="6"/>
      <c r="S32" s="6"/>
      <c r="T32" s="8"/>
      <c r="U32" s="8"/>
      <c r="V32" s="8"/>
      <c r="W32" s="8"/>
    </row>
    <row r="33" spans="1:23" ht="15.75" customHeight="1" x14ac:dyDescent="0.2">
      <c r="A33" s="206" t="s">
        <v>314</v>
      </c>
      <c r="B33" s="213"/>
      <c r="C33" s="213"/>
      <c r="D33" s="213"/>
      <c r="E33" s="213"/>
      <c r="F33" s="175">
        <v>0.03</v>
      </c>
      <c r="G33" s="175">
        <v>3.5000000000000003E-2</v>
      </c>
      <c r="H33" s="175">
        <v>3.5000000000000003E-2</v>
      </c>
      <c r="I33" s="175">
        <v>0.04</v>
      </c>
      <c r="J33" s="175">
        <v>4.4999999999999998E-2</v>
      </c>
      <c r="K33" s="9"/>
      <c r="L33" s="9"/>
      <c r="M33" s="9"/>
      <c r="N33" s="9"/>
      <c r="O33" s="9"/>
      <c r="P33" s="21"/>
      <c r="Q33" s="14"/>
      <c r="R33" s="14"/>
      <c r="S33" s="14"/>
      <c r="T33" s="8"/>
      <c r="U33" s="8"/>
      <c r="V33" s="8"/>
      <c r="W33" s="8"/>
    </row>
    <row r="34" spans="1:23" ht="15.75" customHeight="1" x14ac:dyDescent="0.2">
      <c r="A34" s="206" t="s">
        <v>315</v>
      </c>
      <c r="B34" s="213"/>
      <c r="C34" s="213"/>
      <c r="D34" s="213"/>
      <c r="E34" s="213"/>
      <c r="F34" s="175">
        <v>0.03</v>
      </c>
      <c r="G34" s="175">
        <v>2.8000000000000001E-2</v>
      </c>
      <c r="H34" s="175">
        <v>2.5000000000000001E-2</v>
      </c>
      <c r="I34" s="175">
        <v>2.4E-2</v>
      </c>
      <c r="J34" s="175">
        <v>2.1999999999999999E-2</v>
      </c>
      <c r="K34" s="9"/>
      <c r="L34" s="9"/>
      <c r="M34" s="9"/>
      <c r="N34" s="9"/>
      <c r="O34" s="9"/>
      <c r="P34" s="21"/>
      <c r="Q34" s="14"/>
      <c r="R34" s="14"/>
      <c r="S34" s="14"/>
      <c r="T34" s="8"/>
      <c r="U34" s="8"/>
      <c r="V34" s="8"/>
      <c r="W34" s="8"/>
    </row>
    <row r="35" spans="1:23" ht="15.75" customHeight="1" x14ac:dyDescent="0.2">
      <c r="A35" s="206"/>
      <c r="B35" s="23"/>
      <c r="C35" s="23"/>
      <c r="D35" s="23"/>
      <c r="E35" s="23"/>
      <c r="F35" s="204"/>
      <c r="G35" s="204"/>
      <c r="H35" s="204"/>
      <c r="I35" s="204"/>
      <c r="J35" s="204"/>
      <c r="K35" s="9"/>
      <c r="L35" s="9"/>
      <c r="M35" s="9"/>
      <c r="N35" s="9"/>
      <c r="O35" s="9"/>
      <c r="P35" s="21"/>
      <c r="Q35" s="14"/>
      <c r="R35" s="14"/>
      <c r="S35" s="14"/>
      <c r="T35" s="8"/>
      <c r="U35" s="8"/>
      <c r="V35" s="8"/>
      <c r="W35" s="8"/>
    </row>
    <row r="36" spans="1:23" ht="15.75" customHeight="1" x14ac:dyDescent="0.2">
      <c r="A36" s="209" t="s">
        <v>317</v>
      </c>
      <c r="B36" s="23"/>
      <c r="C36" s="23"/>
      <c r="D36" s="23"/>
      <c r="E36" s="23"/>
      <c r="F36" s="204"/>
      <c r="G36" s="204"/>
      <c r="H36" s="204"/>
      <c r="I36" s="204"/>
      <c r="J36" s="204"/>
      <c r="K36" s="9"/>
      <c r="L36" s="9"/>
      <c r="M36" s="9"/>
      <c r="N36" s="9"/>
      <c r="O36" s="9"/>
      <c r="P36" s="21"/>
      <c r="Q36" s="14"/>
      <c r="R36" s="14"/>
      <c r="S36" s="14"/>
      <c r="T36" s="8"/>
      <c r="U36" s="8"/>
      <c r="V36" s="8"/>
      <c r="W36" s="8"/>
    </row>
    <row r="37" spans="1:23" ht="15.75" customHeight="1" x14ac:dyDescent="0.2">
      <c r="A37" s="205" t="s">
        <v>313</v>
      </c>
      <c r="B37" s="22">
        <f>-'Income Statement Forecast'!$B$22/'Income Statement Forecast'!$B$21</f>
        <v>9.7618117922686452E-3</v>
      </c>
      <c r="C37" s="22">
        <f>-'Income Statement Forecast'!$C$22/'Income Statement Forecast'!$C$21</f>
        <v>0.32771996215704824</v>
      </c>
      <c r="D37" s="22">
        <f>-'Income Statement Forecast'!$D$22/'Income Statement Forecast'!$D$21</f>
        <v>0.28915915286223526</v>
      </c>
      <c r="E37" s="22">
        <f>-'Income Statement Forecast'!E22/'Income Statement Forecast'!E21</f>
        <v>0.23728365702206369</v>
      </c>
      <c r="F37" s="207">
        <v>0.23730000000000001</v>
      </c>
      <c r="G37" s="207">
        <v>0.23730000000000001</v>
      </c>
      <c r="H37" s="207">
        <v>0.23730000000000001</v>
      </c>
      <c r="I37" s="207">
        <v>0.23730000000000001</v>
      </c>
      <c r="J37" s="207">
        <v>0.23730000000000001</v>
      </c>
      <c r="K37" s="9"/>
      <c r="L37" s="9"/>
      <c r="M37" s="9"/>
      <c r="N37" s="9"/>
      <c r="O37" s="9"/>
      <c r="P37" s="7"/>
      <c r="Q37" s="6"/>
      <c r="R37" s="6"/>
      <c r="S37" s="6"/>
      <c r="T37" s="8"/>
      <c r="U37" s="8"/>
      <c r="V37" s="8"/>
      <c r="W37" s="8"/>
    </row>
    <row r="38" spans="1:23" ht="15.75" customHeight="1" x14ac:dyDescent="0.2">
      <c r="A38" s="206" t="s">
        <v>314</v>
      </c>
      <c r="B38" s="22"/>
      <c r="C38" s="22"/>
      <c r="D38" s="22"/>
      <c r="E38" s="22"/>
      <c r="F38" s="207">
        <v>0.28000000000000003</v>
      </c>
      <c r="G38" s="207">
        <v>0.28000000000000003</v>
      </c>
      <c r="H38" s="207">
        <v>0.28000000000000003</v>
      </c>
      <c r="I38" s="207">
        <v>0.28000000000000003</v>
      </c>
      <c r="J38" s="207">
        <v>0.28000000000000003</v>
      </c>
      <c r="K38" s="9"/>
      <c r="L38" s="9"/>
      <c r="M38" s="9"/>
      <c r="N38" s="9"/>
      <c r="O38" s="9"/>
      <c r="P38" s="14"/>
      <c r="Q38" s="14"/>
      <c r="R38" s="14"/>
      <c r="S38" s="14"/>
      <c r="T38" s="8"/>
      <c r="U38" s="8"/>
      <c r="V38" s="8"/>
      <c r="W38" s="8"/>
    </row>
    <row r="39" spans="1:23" ht="15.75" customHeight="1" x14ac:dyDescent="0.2">
      <c r="A39" s="206" t="s">
        <v>315</v>
      </c>
      <c r="B39" s="22"/>
      <c r="C39" s="22"/>
      <c r="D39" s="22"/>
      <c r="E39" s="22"/>
      <c r="F39" s="207">
        <v>0.21</v>
      </c>
      <c r="G39" s="207">
        <v>0.21</v>
      </c>
      <c r="H39" s="207">
        <v>0.21</v>
      </c>
      <c r="I39" s="207">
        <v>0.21</v>
      </c>
      <c r="J39" s="207">
        <v>0.21</v>
      </c>
      <c r="K39" s="9"/>
      <c r="L39" s="9"/>
      <c r="M39" s="9"/>
      <c r="N39" s="9"/>
      <c r="O39" s="9"/>
      <c r="P39" s="14"/>
      <c r="Q39" s="14"/>
      <c r="R39" s="14"/>
      <c r="S39" s="14"/>
      <c r="T39" s="8"/>
      <c r="U39" s="8"/>
      <c r="V39" s="8"/>
      <c r="W39" s="8"/>
    </row>
    <row r="40" spans="1:23" ht="15.75" customHeight="1" x14ac:dyDescent="0.2">
      <c r="A40" s="206"/>
      <c r="B40" s="23"/>
      <c r="C40" s="23"/>
      <c r="D40" s="23"/>
      <c r="E40" s="23"/>
      <c r="F40" s="204"/>
      <c r="G40" s="204"/>
      <c r="H40" s="204"/>
      <c r="I40" s="204"/>
      <c r="J40" s="204"/>
      <c r="K40" s="9"/>
      <c r="L40" s="9"/>
      <c r="M40" s="9"/>
      <c r="N40" s="9"/>
      <c r="O40" s="9"/>
      <c r="P40" s="14"/>
      <c r="Q40" s="14"/>
      <c r="R40" s="14"/>
      <c r="S40" s="14"/>
      <c r="T40" s="8"/>
      <c r="U40" s="8"/>
      <c r="V40" s="8"/>
      <c r="W40" s="8"/>
    </row>
    <row r="41" spans="1:23" ht="15.75" customHeight="1" x14ac:dyDescent="0.2">
      <c r="A41" s="208" t="s">
        <v>115</v>
      </c>
      <c r="B41" s="219"/>
      <c r="C41" s="219"/>
      <c r="D41" s="219"/>
      <c r="E41" s="219"/>
      <c r="F41" s="220"/>
      <c r="G41" s="221"/>
      <c r="H41" s="221"/>
      <c r="I41" s="221"/>
      <c r="J41" s="221"/>
      <c r="K41" s="9"/>
      <c r="L41" s="9"/>
      <c r="M41" s="9"/>
      <c r="N41" s="9"/>
      <c r="O41" s="9"/>
      <c r="P41" s="14"/>
      <c r="Q41" s="14"/>
      <c r="R41" s="14"/>
      <c r="S41" s="14"/>
      <c r="T41" s="8"/>
      <c r="U41" s="8"/>
      <c r="V41" s="8"/>
      <c r="W41" s="8"/>
    </row>
    <row r="42" spans="1:23" ht="15.75" customHeight="1" x14ac:dyDescent="0.2">
      <c r="A42" s="87"/>
      <c r="B42" s="23"/>
      <c r="C42" s="23"/>
      <c r="D42" s="23"/>
      <c r="E42" s="23"/>
      <c r="F42" s="82"/>
      <c r="G42" s="81"/>
      <c r="H42" s="81"/>
      <c r="I42" s="81"/>
      <c r="J42" s="81"/>
      <c r="K42" s="9"/>
      <c r="L42" s="9"/>
      <c r="M42" s="9"/>
      <c r="N42" s="9"/>
      <c r="O42" s="9"/>
      <c r="P42" s="14"/>
      <c r="Q42" s="14"/>
      <c r="R42" s="14"/>
      <c r="S42" s="14"/>
      <c r="T42" s="8"/>
      <c r="U42" s="8"/>
      <c r="V42" s="8"/>
      <c r="W42" s="8"/>
    </row>
    <row r="43" spans="1:23" ht="15.75" customHeight="1" x14ac:dyDescent="0.2">
      <c r="A43" s="210" t="s">
        <v>46</v>
      </c>
      <c r="B43" s="23"/>
      <c r="C43" s="23"/>
      <c r="D43" s="23"/>
      <c r="E43" s="23"/>
      <c r="F43" s="82"/>
      <c r="G43" s="81"/>
      <c r="H43" s="81"/>
      <c r="I43" s="81"/>
      <c r="J43" s="81"/>
      <c r="K43" s="9"/>
      <c r="L43" s="9"/>
      <c r="M43" s="9"/>
      <c r="N43" s="9"/>
      <c r="O43" s="9"/>
      <c r="P43" s="14"/>
      <c r="Q43" s="14"/>
      <c r="R43" s="14"/>
      <c r="S43" s="14"/>
      <c r="T43" s="8"/>
      <c r="U43" s="8"/>
      <c r="V43" s="8"/>
      <c r="W43" s="8"/>
    </row>
    <row r="44" spans="1:23" ht="15.75" customHeight="1" x14ac:dyDescent="0.2">
      <c r="A44" s="205" t="s">
        <v>313</v>
      </c>
      <c r="B44" s="22">
        <f>'Balance Sheet Forecast'!$B$7/'Income Statement Forecast'!$B$6</f>
        <v>0.19827049156011747</v>
      </c>
      <c r="C44" s="22">
        <f>'Balance Sheet Forecast'!$C$7/'Income Statement Forecast'!$C$6</f>
        <v>0.15294601194361837</v>
      </c>
      <c r="D44" s="22">
        <f>'Balance Sheet Forecast'!$D$7/'Income Statement Forecast'!$D$6</f>
        <v>0.13869828342594884</v>
      </c>
      <c r="E44" s="22">
        <f>'Balance Sheet Forecast'!$E$7/'Income Statement Forecast'!$E$6</f>
        <v>0.13932640842372565</v>
      </c>
      <c r="F44" s="176">
        <f>E44</f>
        <v>0.13932640842372565</v>
      </c>
      <c r="G44" s="176">
        <f t="shared" ref="G44:J44" si="1">F44</f>
        <v>0.13932640842372565</v>
      </c>
      <c r="H44" s="176">
        <f t="shared" si="1"/>
        <v>0.13932640842372565</v>
      </c>
      <c r="I44" s="176">
        <f t="shared" si="1"/>
        <v>0.13932640842372565</v>
      </c>
      <c r="J44" s="176">
        <f t="shared" si="1"/>
        <v>0.13932640842372565</v>
      </c>
      <c r="K44" s="9"/>
      <c r="L44" s="9"/>
      <c r="M44" s="9"/>
      <c r="N44" s="9"/>
      <c r="O44" s="9"/>
      <c r="P44" s="7"/>
      <c r="Q44" s="6"/>
      <c r="R44" s="6"/>
      <c r="S44" s="6"/>
      <c r="T44" s="8"/>
      <c r="U44" s="8"/>
      <c r="V44" s="8"/>
      <c r="W44" s="8"/>
    </row>
    <row r="45" spans="1:23" ht="15.75" customHeight="1" x14ac:dyDescent="0.2">
      <c r="A45" s="206" t="s">
        <v>314</v>
      </c>
      <c r="B45" s="22"/>
      <c r="C45" s="22"/>
      <c r="D45" s="22"/>
      <c r="E45" s="22"/>
      <c r="F45" s="180">
        <v>0.14000000000000001</v>
      </c>
      <c r="G45" s="180">
        <v>0.15</v>
      </c>
      <c r="H45" s="180">
        <v>0.15</v>
      </c>
      <c r="I45" s="180">
        <v>0.16</v>
      </c>
      <c r="J45" s="180">
        <v>0.17</v>
      </c>
      <c r="K45" s="9"/>
      <c r="L45" s="9"/>
      <c r="M45" s="9"/>
      <c r="N45" s="9"/>
      <c r="O45" s="9"/>
      <c r="P45" s="14"/>
      <c r="Q45" s="14"/>
      <c r="R45" s="14"/>
      <c r="S45" s="14"/>
      <c r="T45" s="8"/>
      <c r="U45" s="8"/>
      <c r="V45" s="8"/>
      <c r="W45" s="8"/>
    </row>
    <row r="46" spans="1:23" ht="15.75" customHeight="1" x14ac:dyDescent="0.2">
      <c r="A46" s="206" t="s">
        <v>315</v>
      </c>
      <c r="B46" s="22"/>
      <c r="C46" s="22"/>
      <c r="D46" s="22"/>
      <c r="E46" s="22"/>
      <c r="F46" s="180">
        <v>0.14000000000000001</v>
      </c>
      <c r="G46" s="180">
        <v>0.13</v>
      </c>
      <c r="H46" s="180">
        <v>0.13</v>
      </c>
      <c r="I46" s="180">
        <v>0.12</v>
      </c>
      <c r="J46" s="180">
        <v>0.12</v>
      </c>
      <c r="K46" s="9"/>
      <c r="L46" s="9"/>
      <c r="M46" s="9"/>
      <c r="N46" s="9"/>
      <c r="O46" s="9"/>
      <c r="P46" s="14"/>
      <c r="Q46" s="14"/>
      <c r="R46" s="14"/>
      <c r="S46" s="14"/>
      <c r="T46" s="8"/>
      <c r="U46" s="8"/>
      <c r="V46" s="8"/>
      <c r="W46" s="8"/>
    </row>
    <row r="47" spans="1:23" ht="15.75" customHeight="1" x14ac:dyDescent="0.2">
      <c r="A47" s="206"/>
      <c r="B47" s="23"/>
      <c r="C47" s="23"/>
      <c r="D47" s="23"/>
      <c r="E47" s="23"/>
      <c r="F47" s="204"/>
      <c r="G47" s="204"/>
      <c r="H47" s="204"/>
      <c r="I47" s="204"/>
      <c r="J47" s="204"/>
      <c r="K47" s="9"/>
      <c r="L47" s="9"/>
      <c r="M47" s="9"/>
      <c r="N47" s="9"/>
      <c r="O47" s="9"/>
      <c r="P47" s="14"/>
      <c r="Q47" s="14"/>
      <c r="R47" s="14"/>
      <c r="S47" s="14"/>
      <c r="T47" s="8"/>
      <c r="U47" s="8"/>
      <c r="V47" s="8"/>
      <c r="W47" s="8"/>
    </row>
    <row r="48" spans="1:23" ht="15.75" customHeight="1" x14ac:dyDescent="0.2">
      <c r="A48" s="210" t="s">
        <v>47</v>
      </c>
      <c r="B48" s="23"/>
      <c r="C48" s="23"/>
      <c r="D48" s="23"/>
      <c r="E48" s="23"/>
      <c r="F48" s="204"/>
      <c r="G48" s="204"/>
      <c r="H48" s="204"/>
      <c r="I48" s="204"/>
      <c r="J48" s="204"/>
      <c r="K48" s="9"/>
      <c r="L48" s="9"/>
      <c r="M48" s="9"/>
      <c r="N48" s="9"/>
      <c r="O48" s="9"/>
      <c r="P48" s="14"/>
      <c r="Q48" s="14"/>
      <c r="R48" s="14"/>
      <c r="S48" s="14"/>
      <c r="T48" s="8"/>
      <c r="U48" s="8"/>
      <c r="V48" s="8"/>
      <c r="W48" s="8"/>
    </row>
    <row r="49" spans="1:23" ht="15.75" customHeight="1" x14ac:dyDescent="0.2">
      <c r="A49" s="205" t="s">
        <v>313</v>
      </c>
      <c r="B49" s="22">
        <f>'Balance Sheet Forecast'!$B$8/'Income Statement Forecast'!$B$6</f>
        <v>1.9742502002432584E-2</v>
      </c>
      <c r="C49" s="22">
        <f>'Balance Sheet Forecast'!$C$8/'Income Statement Forecast'!$C$6</f>
        <v>2.1058485046299653E-2</v>
      </c>
      <c r="D49" s="22">
        <f>'Balance Sheet Forecast'!$D$8/'Income Statement Forecast'!$D$6</f>
        <v>2.2081486647618619E-2</v>
      </c>
      <c r="E49" s="22">
        <f>'Balance Sheet Forecast'!$E$8/'Income Statement Forecast'!$E$6</f>
        <v>2.2131981917886189E-2</v>
      </c>
      <c r="F49" s="176">
        <f t="shared" ref="F49:J89" si="2">E49</f>
        <v>2.2131981917886189E-2</v>
      </c>
      <c r="G49" s="176">
        <f t="shared" si="2"/>
        <v>2.2131981917886189E-2</v>
      </c>
      <c r="H49" s="176">
        <f t="shared" si="2"/>
        <v>2.2131981917886189E-2</v>
      </c>
      <c r="I49" s="176">
        <f t="shared" si="2"/>
        <v>2.2131981917886189E-2</v>
      </c>
      <c r="J49" s="176">
        <f t="shared" si="2"/>
        <v>2.2131981917886189E-2</v>
      </c>
      <c r="K49" s="9"/>
      <c r="L49" s="9"/>
      <c r="M49" s="9"/>
      <c r="N49" s="9"/>
      <c r="O49" s="9"/>
      <c r="P49" s="7"/>
      <c r="Q49" s="6"/>
      <c r="R49" s="6"/>
      <c r="S49" s="6"/>
      <c r="T49" s="8"/>
      <c r="U49" s="8"/>
      <c r="V49" s="8"/>
      <c r="W49" s="8"/>
    </row>
    <row r="50" spans="1:23" ht="15.75" customHeight="1" x14ac:dyDescent="0.2">
      <c r="A50" s="206" t="s">
        <v>314</v>
      </c>
      <c r="B50" s="22"/>
      <c r="C50" s="22"/>
      <c r="D50" s="22"/>
      <c r="E50" s="22"/>
      <c r="F50" s="180">
        <v>2.2100000000000002E-2</v>
      </c>
      <c r="G50" s="180">
        <v>2.4E-2</v>
      </c>
      <c r="H50" s="180">
        <v>2.4E-2</v>
      </c>
      <c r="I50" s="180">
        <v>2.5000000000000001E-2</v>
      </c>
      <c r="J50" s="180">
        <v>2.5999999999999999E-2</v>
      </c>
      <c r="K50" s="9"/>
      <c r="L50" s="9"/>
      <c r="M50" s="9"/>
      <c r="N50" s="9"/>
      <c r="O50" s="9"/>
      <c r="P50" s="14"/>
      <c r="Q50" s="14"/>
      <c r="R50" s="14"/>
      <c r="S50" s="14"/>
      <c r="T50" s="8"/>
      <c r="U50" s="8"/>
      <c r="V50" s="8"/>
      <c r="W50" s="8"/>
    </row>
    <row r="51" spans="1:23" ht="15.75" customHeight="1" x14ac:dyDescent="0.2">
      <c r="A51" s="206" t="s">
        <v>315</v>
      </c>
      <c r="B51" s="22"/>
      <c r="C51" s="22"/>
      <c r="D51" s="22"/>
      <c r="E51" s="22"/>
      <c r="F51" s="180">
        <v>2.2100000000000002E-2</v>
      </c>
      <c r="G51" s="180">
        <v>2.1000000000000001E-2</v>
      </c>
      <c r="H51" s="180">
        <v>2.1000000000000001E-2</v>
      </c>
      <c r="I51" s="180">
        <v>0.02</v>
      </c>
      <c r="J51" s="180">
        <v>0.02</v>
      </c>
      <c r="K51" s="9"/>
      <c r="L51" s="9"/>
      <c r="M51" s="9"/>
      <c r="N51" s="9"/>
      <c r="O51" s="9"/>
      <c r="P51" s="14"/>
      <c r="Q51" s="14"/>
      <c r="R51" s="14"/>
      <c r="S51" s="14"/>
      <c r="T51" s="8"/>
      <c r="U51" s="8"/>
      <c r="V51" s="8"/>
      <c r="W51" s="8"/>
    </row>
    <row r="52" spans="1:23" ht="15.75" customHeight="1" x14ac:dyDescent="0.2">
      <c r="A52" s="206"/>
      <c r="B52" s="23"/>
      <c r="C52" s="23"/>
      <c r="D52" s="23"/>
      <c r="E52" s="23"/>
      <c r="F52" s="204"/>
      <c r="G52" s="204"/>
      <c r="H52" s="204"/>
      <c r="I52" s="204"/>
      <c r="J52" s="204"/>
      <c r="K52" s="9"/>
      <c r="L52" s="9"/>
      <c r="M52" s="9"/>
      <c r="N52" s="9"/>
      <c r="O52" s="9"/>
      <c r="P52" s="14"/>
      <c r="Q52" s="14"/>
      <c r="R52" s="14"/>
      <c r="S52" s="14"/>
      <c r="T52" s="8"/>
      <c r="U52" s="8"/>
      <c r="V52" s="8"/>
      <c r="W52" s="8"/>
    </row>
    <row r="53" spans="1:23" ht="15.75" customHeight="1" x14ac:dyDescent="0.2">
      <c r="A53" s="210" t="s">
        <v>18</v>
      </c>
      <c r="B53" s="23"/>
      <c r="C53" s="23"/>
      <c r="D53" s="23"/>
      <c r="E53" s="23"/>
      <c r="F53" s="204"/>
      <c r="G53" s="204"/>
      <c r="H53" s="204"/>
      <c r="I53" s="204"/>
      <c r="J53" s="204"/>
      <c r="K53" s="9"/>
      <c r="L53" s="9"/>
      <c r="M53" s="9"/>
      <c r="N53" s="9"/>
      <c r="O53" s="9"/>
      <c r="P53" s="14"/>
      <c r="Q53" s="14"/>
      <c r="R53" s="14"/>
      <c r="S53" s="14"/>
      <c r="T53" s="8"/>
      <c r="U53" s="8"/>
      <c r="V53" s="8"/>
      <c r="W53" s="8"/>
    </row>
    <row r="54" spans="1:23" ht="15.75" customHeight="1" x14ac:dyDescent="0.2">
      <c r="A54" s="205" t="s">
        <v>313</v>
      </c>
      <c r="B54" s="22">
        <f>'Balance Sheet Forecast'!B9/'Income Statement Forecast'!B6</f>
        <v>0</v>
      </c>
      <c r="C54" s="22">
        <f>'Balance Sheet Forecast'!C9/'Income Statement Forecast'!C6</f>
        <v>0</v>
      </c>
      <c r="D54" s="22">
        <f>'Balance Sheet Forecast'!D9/'Income Statement Forecast'!D6</f>
        <v>0</v>
      </c>
      <c r="E54" s="22">
        <f>'Balance Sheet Forecast'!E9/'Income Statement Forecast'!E6</f>
        <v>0</v>
      </c>
      <c r="F54" s="176">
        <f t="shared" si="2"/>
        <v>0</v>
      </c>
      <c r="G54" s="176">
        <f t="shared" si="2"/>
        <v>0</v>
      </c>
      <c r="H54" s="176">
        <f t="shared" si="2"/>
        <v>0</v>
      </c>
      <c r="I54" s="176">
        <f t="shared" si="2"/>
        <v>0</v>
      </c>
      <c r="J54" s="176">
        <f t="shared" si="2"/>
        <v>0</v>
      </c>
      <c r="K54" s="9"/>
      <c r="L54" s="9"/>
      <c r="M54" s="9"/>
      <c r="N54" s="9"/>
      <c r="O54" s="9"/>
      <c r="P54" s="7"/>
      <c r="Q54" s="6"/>
      <c r="R54" s="6"/>
      <c r="S54" s="6"/>
      <c r="T54" s="8"/>
      <c r="U54" s="8"/>
      <c r="V54" s="8"/>
      <c r="W54" s="8"/>
    </row>
    <row r="55" spans="1:23" ht="15.75" customHeight="1" x14ac:dyDescent="0.2">
      <c r="A55" s="206" t="s">
        <v>314</v>
      </c>
      <c r="B55" s="23"/>
      <c r="C55" s="23"/>
      <c r="D55" s="23"/>
      <c r="E55" s="23"/>
      <c r="F55" s="180">
        <v>0</v>
      </c>
      <c r="G55" s="180">
        <v>0</v>
      </c>
      <c r="H55" s="180">
        <v>0</v>
      </c>
      <c r="I55" s="180">
        <v>0</v>
      </c>
      <c r="J55" s="180">
        <v>0</v>
      </c>
      <c r="K55" s="9"/>
      <c r="L55" s="9"/>
      <c r="M55" s="9"/>
      <c r="N55" s="9"/>
      <c r="O55" s="9"/>
      <c r="P55" s="14"/>
      <c r="Q55" s="14"/>
      <c r="R55" s="14"/>
      <c r="S55" s="14"/>
      <c r="T55" s="8"/>
      <c r="U55" s="8"/>
      <c r="V55" s="8"/>
      <c r="W55" s="8"/>
    </row>
    <row r="56" spans="1:23" ht="15.75" customHeight="1" x14ac:dyDescent="0.2">
      <c r="A56" s="206" t="s">
        <v>315</v>
      </c>
      <c r="B56" s="23"/>
      <c r="C56" s="23"/>
      <c r="D56" s="23"/>
      <c r="E56" s="23"/>
      <c r="F56" s="180">
        <v>0</v>
      </c>
      <c r="G56" s="180">
        <v>0</v>
      </c>
      <c r="H56" s="180">
        <v>0</v>
      </c>
      <c r="I56" s="180">
        <v>0</v>
      </c>
      <c r="J56" s="180">
        <v>0</v>
      </c>
      <c r="K56" s="9"/>
      <c r="L56" s="9"/>
      <c r="M56" s="9"/>
      <c r="N56" s="9"/>
      <c r="O56" s="9"/>
      <c r="P56" s="14"/>
      <c r="Q56" s="14"/>
      <c r="R56" s="14"/>
      <c r="S56" s="14"/>
      <c r="T56" s="8"/>
      <c r="U56" s="8"/>
      <c r="V56" s="8"/>
      <c r="W56" s="8"/>
    </row>
    <row r="57" spans="1:23" ht="15.75" customHeight="1" x14ac:dyDescent="0.2">
      <c r="A57" s="14"/>
      <c r="B57" s="23"/>
      <c r="C57" s="23"/>
      <c r="D57" s="23"/>
      <c r="E57" s="23"/>
      <c r="F57" s="204"/>
      <c r="G57" s="204"/>
      <c r="H57" s="204"/>
      <c r="I57" s="204"/>
      <c r="J57" s="204"/>
      <c r="K57" s="9"/>
      <c r="L57" s="9"/>
      <c r="M57" s="9"/>
      <c r="N57" s="9"/>
      <c r="O57" s="9"/>
      <c r="P57" s="14"/>
      <c r="Q57" s="14"/>
      <c r="R57" s="14"/>
      <c r="S57" s="14"/>
      <c r="T57" s="8"/>
      <c r="U57" s="8"/>
      <c r="V57" s="8"/>
      <c r="W57" s="8"/>
    </row>
    <row r="58" spans="1:23" ht="15.75" customHeight="1" x14ac:dyDescent="0.2">
      <c r="A58" s="210" t="s">
        <v>48</v>
      </c>
      <c r="B58" s="23"/>
      <c r="C58" s="23"/>
      <c r="D58" s="23"/>
      <c r="E58" s="23"/>
      <c r="F58" s="204"/>
      <c r="G58" s="204"/>
      <c r="H58" s="204"/>
      <c r="I58" s="204"/>
      <c r="J58" s="204"/>
      <c r="K58" s="9"/>
      <c r="L58" s="9"/>
      <c r="M58" s="9"/>
      <c r="N58" s="9"/>
      <c r="O58" s="9"/>
      <c r="P58" s="14"/>
      <c r="Q58" s="14"/>
      <c r="R58" s="14"/>
      <c r="S58" s="14"/>
      <c r="T58" s="8"/>
      <c r="U58" s="8"/>
      <c r="V58" s="8"/>
      <c r="W58" s="8"/>
    </row>
    <row r="59" spans="1:23" ht="15.75" customHeight="1" x14ac:dyDescent="0.2">
      <c r="A59" s="205" t="s">
        <v>313</v>
      </c>
      <c r="B59" s="22">
        <f>'Balance Sheet Forecast'!B15/'Income Statement Forecast'!B6</f>
        <v>0.54666409564211338</v>
      </c>
      <c r="C59" s="22">
        <f>'Balance Sheet Forecast'!C15/'Income Statement Forecast'!C6</f>
        <v>0.45773796571649622</v>
      </c>
      <c r="D59" s="22">
        <f>'Balance Sheet Forecast'!D15/'Income Statement Forecast'!D6</f>
        <v>0.4436882719521249</v>
      </c>
      <c r="E59" s="22">
        <f>'Balance Sheet Forecast'!E15/'Income Statement Forecast'!E6</f>
        <v>0.44508050481058659</v>
      </c>
      <c r="F59" s="176">
        <f t="shared" si="2"/>
        <v>0.44508050481058659</v>
      </c>
      <c r="G59" s="176">
        <f t="shared" si="2"/>
        <v>0.44508050481058659</v>
      </c>
      <c r="H59" s="176">
        <f t="shared" si="2"/>
        <v>0.44508050481058659</v>
      </c>
      <c r="I59" s="176">
        <f t="shared" si="2"/>
        <v>0.44508050481058659</v>
      </c>
      <c r="J59" s="176">
        <f t="shared" si="2"/>
        <v>0.44508050481058659</v>
      </c>
      <c r="K59" s="9"/>
      <c r="L59" s="9"/>
      <c r="M59" s="9"/>
      <c r="N59" s="9"/>
      <c r="O59" s="9"/>
      <c r="P59" s="11"/>
      <c r="Q59" s="6"/>
      <c r="R59" s="6"/>
      <c r="S59" s="6"/>
      <c r="T59" s="8"/>
      <c r="U59" s="8"/>
      <c r="V59" s="8"/>
      <c r="W59" s="8"/>
    </row>
    <row r="60" spans="1:23" ht="15.75" customHeight="1" x14ac:dyDescent="0.2">
      <c r="A60" s="206" t="s">
        <v>314</v>
      </c>
      <c r="B60" s="23"/>
      <c r="C60" s="23"/>
      <c r="D60" s="23"/>
      <c r="E60" s="23"/>
      <c r="F60" s="180">
        <v>0.45</v>
      </c>
      <c r="G60" s="180">
        <v>0.47</v>
      </c>
      <c r="H60" s="180">
        <v>0.48</v>
      </c>
      <c r="I60" s="180">
        <v>0.48</v>
      </c>
      <c r="J60" s="180">
        <v>0.49</v>
      </c>
      <c r="K60" s="9"/>
      <c r="L60" s="9"/>
      <c r="M60" s="9"/>
      <c r="N60" s="9"/>
      <c r="O60" s="9"/>
      <c r="P60" s="214"/>
      <c r="Q60" s="14"/>
      <c r="R60" s="14"/>
      <c r="S60" s="14"/>
      <c r="T60" s="8"/>
      <c r="U60" s="8"/>
      <c r="V60" s="8"/>
      <c r="W60" s="8"/>
    </row>
    <row r="61" spans="1:23" ht="15.75" customHeight="1" x14ac:dyDescent="0.2">
      <c r="A61" s="206" t="s">
        <v>315</v>
      </c>
      <c r="B61" s="23"/>
      <c r="C61" s="23"/>
      <c r="D61" s="23"/>
      <c r="E61" s="23"/>
      <c r="F61" s="180">
        <v>0.45</v>
      </c>
      <c r="G61" s="180">
        <v>0.44</v>
      </c>
      <c r="H61" s="180">
        <v>0.43</v>
      </c>
      <c r="I61" s="180">
        <v>0.42</v>
      </c>
      <c r="J61" s="180">
        <v>0.41</v>
      </c>
      <c r="K61" s="9"/>
      <c r="L61" s="9"/>
      <c r="M61" s="9"/>
      <c r="N61" s="9"/>
      <c r="O61" s="9"/>
      <c r="P61" s="214"/>
      <c r="Q61" s="14"/>
      <c r="R61" s="14"/>
      <c r="S61" s="14"/>
      <c r="T61" s="8"/>
      <c r="U61" s="8"/>
      <c r="V61" s="8"/>
      <c r="W61" s="8"/>
    </row>
    <row r="62" spans="1:23" ht="15.75" customHeight="1" x14ac:dyDescent="0.2">
      <c r="A62" s="14"/>
      <c r="B62" s="23"/>
      <c r="C62" s="23"/>
      <c r="D62" s="23"/>
      <c r="E62" s="23"/>
      <c r="F62" s="204"/>
      <c r="G62" s="204"/>
      <c r="H62" s="204"/>
      <c r="I62" s="204"/>
      <c r="J62" s="204"/>
      <c r="K62" s="9"/>
      <c r="L62" s="9"/>
      <c r="M62" s="9"/>
      <c r="N62" s="9"/>
      <c r="O62" s="9"/>
      <c r="P62" s="214"/>
      <c r="Q62" s="14"/>
      <c r="R62" s="14"/>
      <c r="S62" s="14"/>
      <c r="T62" s="8"/>
      <c r="U62" s="8"/>
      <c r="V62" s="8"/>
      <c r="W62" s="8"/>
    </row>
    <row r="63" spans="1:23" ht="15.75" customHeight="1" x14ac:dyDescent="0.2">
      <c r="A63" s="210" t="s">
        <v>49</v>
      </c>
      <c r="B63" s="23"/>
      <c r="C63" s="23"/>
      <c r="D63" s="23"/>
      <c r="E63" s="23"/>
      <c r="F63" s="204"/>
      <c r="G63" s="204"/>
      <c r="H63" s="204"/>
      <c r="I63" s="204"/>
      <c r="J63" s="204"/>
      <c r="K63" s="9"/>
      <c r="L63" s="9"/>
      <c r="M63" s="9"/>
      <c r="N63" s="9"/>
      <c r="O63" s="9"/>
      <c r="P63" s="214"/>
      <c r="Q63" s="14"/>
      <c r="R63" s="14"/>
      <c r="S63" s="14"/>
      <c r="T63" s="8"/>
      <c r="U63" s="8"/>
      <c r="V63" s="8"/>
      <c r="W63" s="8"/>
    </row>
    <row r="64" spans="1:23" ht="15.75" customHeight="1" x14ac:dyDescent="0.2">
      <c r="A64" s="205" t="s">
        <v>313</v>
      </c>
      <c r="B64" s="22">
        <f>'Balance Sheet Forecast'!B25/'Income Statement Forecast'!B6</f>
        <v>0.24262066510427482</v>
      </c>
      <c r="C64" s="22">
        <f>'Balance Sheet Forecast'!C25/'Income Statement Forecast'!C6</f>
        <v>0.18802736877735066</v>
      </c>
      <c r="D64" s="22">
        <f>'Balance Sheet Forecast'!D25/'Income Statement Forecast'!D6</f>
        <v>0.16139845665819252</v>
      </c>
      <c r="E64" s="22">
        <f>'Balance Sheet Forecast'!E25/'Income Statement Forecast'!E6</f>
        <v>0.15347905561454012</v>
      </c>
      <c r="F64" s="176">
        <f t="shared" si="2"/>
        <v>0.15347905561454012</v>
      </c>
      <c r="G64" s="176">
        <f t="shared" si="2"/>
        <v>0.15347905561454012</v>
      </c>
      <c r="H64" s="176">
        <f t="shared" si="2"/>
        <v>0.15347905561454012</v>
      </c>
      <c r="I64" s="176">
        <f t="shared" si="2"/>
        <v>0.15347905561454012</v>
      </c>
      <c r="J64" s="176">
        <f t="shared" si="2"/>
        <v>0.15347905561454012</v>
      </c>
      <c r="K64" s="9"/>
      <c r="L64" s="9"/>
      <c r="M64" s="9"/>
      <c r="N64" s="9"/>
      <c r="O64" s="9"/>
      <c r="P64" s="7"/>
      <c r="Q64" s="6"/>
      <c r="R64" s="6"/>
      <c r="S64" s="6"/>
      <c r="T64" s="8"/>
      <c r="U64" s="8"/>
      <c r="V64" s="8"/>
      <c r="W64" s="8"/>
    </row>
    <row r="65" spans="1:23" ht="15.75" customHeight="1" x14ac:dyDescent="0.2">
      <c r="A65" s="206" t="s">
        <v>314</v>
      </c>
      <c r="B65" s="23"/>
      <c r="C65" s="23"/>
      <c r="D65" s="23"/>
      <c r="E65" s="23"/>
      <c r="F65" s="180">
        <v>0.1535</v>
      </c>
      <c r="G65" s="180">
        <v>0.16</v>
      </c>
      <c r="H65" s="180">
        <v>0.16500000000000001</v>
      </c>
      <c r="I65" s="180">
        <v>0.16500000000000001</v>
      </c>
      <c r="J65" s="180">
        <v>0.17</v>
      </c>
      <c r="K65" s="9"/>
      <c r="L65" s="9"/>
      <c r="M65" s="9"/>
      <c r="N65" s="9"/>
      <c r="O65" s="9"/>
      <c r="P65" s="14"/>
      <c r="Q65" s="14"/>
      <c r="R65" s="14"/>
      <c r="S65" s="14"/>
      <c r="T65" s="8"/>
      <c r="U65" s="8"/>
      <c r="V65" s="8"/>
      <c r="W65" s="8"/>
    </row>
    <row r="66" spans="1:23" ht="15.75" customHeight="1" x14ac:dyDescent="0.2">
      <c r="A66" s="206" t="s">
        <v>315</v>
      </c>
      <c r="B66" s="23"/>
      <c r="C66" s="23"/>
      <c r="D66" s="23"/>
      <c r="E66" s="23"/>
      <c r="F66" s="180">
        <v>0.1535</v>
      </c>
      <c r="G66" s="180">
        <v>0.15</v>
      </c>
      <c r="H66" s="180">
        <v>0.14499999999999999</v>
      </c>
      <c r="I66" s="180">
        <v>0.14499999999999999</v>
      </c>
      <c r="J66" s="180">
        <v>0.14000000000000001</v>
      </c>
      <c r="K66" s="9"/>
      <c r="L66" s="9"/>
      <c r="M66" s="9"/>
      <c r="N66" s="9"/>
      <c r="O66" s="9"/>
      <c r="P66" s="14"/>
      <c r="Q66" s="14"/>
      <c r="R66" s="14"/>
      <c r="S66" s="14"/>
      <c r="T66" s="8"/>
      <c r="U66" s="8"/>
      <c r="V66" s="8"/>
      <c r="W66" s="8"/>
    </row>
    <row r="67" spans="1:23" ht="15.75" customHeight="1" x14ac:dyDescent="0.2">
      <c r="A67" s="14"/>
      <c r="B67" s="23"/>
      <c r="C67" s="23"/>
      <c r="D67" s="23"/>
      <c r="E67" s="23"/>
      <c r="F67" s="204"/>
      <c r="G67" s="204"/>
      <c r="H67" s="204"/>
      <c r="I67" s="204"/>
      <c r="J67" s="204"/>
      <c r="K67" s="9"/>
      <c r="L67" s="9"/>
      <c r="M67" s="9"/>
      <c r="N67" s="9"/>
      <c r="O67" s="9"/>
      <c r="P67" s="14"/>
      <c r="Q67" s="14"/>
      <c r="R67" s="14"/>
      <c r="S67" s="14"/>
      <c r="T67" s="8"/>
      <c r="U67" s="8"/>
      <c r="V67" s="8"/>
      <c r="W67" s="8"/>
    </row>
    <row r="68" spans="1:23" ht="15.75" customHeight="1" x14ac:dyDescent="0.2">
      <c r="A68" s="210" t="s">
        <v>50</v>
      </c>
      <c r="B68" s="23"/>
      <c r="C68" s="23"/>
      <c r="D68" s="23"/>
      <c r="E68" s="23"/>
      <c r="F68" s="204"/>
      <c r="G68" s="204"/>
      <c r="H68" s="204"/>
      <c r="I68" s="204"/>
      <c r="J68" s="204"/>
      <c r="K68" s="9"/>
      <c r="L68" s="9"/>
      <c r="M68" s="9"/>
      <c r="N68" s="9"/>
      <c r="O68" s="9"/>
      <c r="P68" s="14"/>
      <c r="Q68" s="14"/>
      <c r="R68" s="14"/>
      <c r="S68" s="14"/>
      <c r="T68" s="8"/>
      <c r="U68" s="8"/>
      <c r="V68" s="8"/>
      <c r="W68" s="8"/>
    </row>
    <row r="69" spans="1:23" ht="15.75" customHeight="1" x14ac:dyDescent="0.2">
      <c r="A69" s="205" t="s">
        <v>313</v>
      </c>
      <c r="B69" s="22">
        <f>'Balance Sheet Forecast'!B26/'Income Statement Forecast'!B6</f>
        <v>6.109644308641609E-2</v>
      </c>
      <c r="C69" s="22">
        <f>'Balance Sheet Forecast'!C26/'Income Statement Forecast'!C6</f>
        <v>4.9092139938589491E-2</v>
      </c>
      <c r="D69" s="22">
        <f>'Balance Sheet Forecast'!D26/'Income Statement Forecast'!D6</f>
        <v>4.2756867421089341E-2</v>
      </c>
      <c r="E69" s="22">
        <f>'Balance Sheet Forecast'!E26/'Income Statement Forecast'!E6</f>
        <v>4.833572312036865E-2</v>
      </c>
      <c r="F69" s="176">
        <f t="shared" si="2"/>
        <v>4.833572312036865E-2</v>
      </c>
      <c r="G69" s="176">
        <f t="shared" si="2"/>
        <v>4.833572312036865E-2</v>
      </c>
      <c r="H69" s="176">
        <f t="shared" si="2"/>
        <v>4.833572312036865E-2</v>
      </c>
      <c r="I69" s="176">
        <f t="shared" si="2"/>
        <v>4.833572312036865E-2</v>
      </c>
      <c r="J69" s="176">
        <f t="shared" si="2"/>
        <v>4.833572312036865E-2</v>
      </c>
      <c r="K69" s="9"/>
      <c r="L69" s="9"/>
      <c r="M69" s="9"/>
      <c r="N69" s="9"/>
      <c r="O69" s="9"/>
      <c r="P69" s="7"/>
      <c r="Q69" s="6"/>
      <c r="R69" s="6"/>
      <c r="S69" s="6"/>
      <c r="T69" s="8"/>
      <c r="U69" s="8"/>
      <c r="V69" s="8"/>
      <c r="W69" s="8"/>
    </row>
    <row r="70" spans="1:23" ht="15.75" customHeight="1" x14ac:dyDescent="0.2">
      <c r="A70" s="206" t="s">
        <v>314</v>
      </c>
      <c r="B70" s="23"/>
      <c r="C70" s="23"/>
      <c r="D70" s="23"/>
      <c r="E70" s="23"/>
      <c r="F70" s="180">
        <v>4.8300000000000003E-2</v>
      </c>
      <c r="G70" s="180">
        <v>4.4999999999999998E-2</v>
      </c>
      <c r="H70" s="180">
        <v>4.4999999999999998E-2</v>
      </c>
      <c r="I70" s="180">
        <v>0.04</v>
      </c>
      <c r="J70" s="180">
        <v>0.04</v>
      </c>
      <c r="K70" s="9"/>
      <c r="L70" s="9"/>
      <c r="M70" s="9"/>
      <c r="N70" s="9"/>
      <c r="O70" s="9"/>
      <c r="P70" s="14"/>
      <c r="Q70" s="14"/>
      <c r="R70" s="14"/>
      <c r="S70" s="14"/>
      <c r="T70" s="8"/>
      <c r="U70" s="8"/>
      <c r="V70" s="8"/>
      <c r="W70" s="8"/>
    </row>
    <row r="71" spans="1:23" ht="15.75" customHeight="1" x14ac:dyDescent="0.2">
      <c r="A71" s="206" t="s">
        <v>315</v>
      </c>
      <c r="B71" s="23"/>
      <c r="C71" s="23"/>
      <c r="D71" s="23"/>
      <c r="E71" s="23"/>
      <c r="F71" s="180">
        <v>4.8300000000000003E-2</v>
      </c>
      <c r="G71" s="180">
        <v>0.05</v>
      </c>
      <c r="H71" s="180">
        <v>5.2999999999999999E-2</v>
      </c>
      <c r="I71" s="180">
        <v>5.2999999999999999E-2</v>
      </c>
      <c r="J71" s="180">
        <v>5.3999999999999999E-2</v>
      </c>
      <c r="K71" s="9"/>
      <c r="L71" s="9"/>
      <c r="M71" s="9"/>
      <c r="N71" s="9"/>
      <c r="O71" s="9"/>
      <c r="P71" s="14"/>
      <c r="Q71" s="14"/>
      <c r="R71" s="14"/>
      <c r="S71" s="14"/>
      <c r="T71" s="8"/>
      <c r="U71" s="8"/>
      <c r="V71" s="8"/>
      <c r="W71" s="8"/>
    </row>
    <row r="72" spans="1:23" ht="15.75" customHeight="1" x14ac:dyDescent="0.2">
      <c r="A72" s="14"/>
      <c r="B72" s="23"/>
      <c r="C72" s="23"/>
      <c r="D72" s="23"/>
      <c r="E72" s="23"/>
      <c r="F72" s="204"/>
      <c r="G72" s="204"/>
      <c r="H72" s="204"/>
      <c r="I72" s="204"/>
      <c r="J72" s="204"/>
      <c r="K72" s="9"/>
      <c r="L72" s="9"/>
      <c r="M72" s="9"/>
      <c r="N72" s="9"/>
      <c r="O72" s="9"/>
      <c r="P72" s="14"/>
      <c r="Q72" s="14"/>
      <c r="R72" s="14"/>
      <c r="S72" s="14"/>
      <c r="T72" s="8"/>
      <c r="U72" s="8"/>
      <c r="V72" s="8"/>
      <c r="W72" s="8"/>
    </row>
    <row r="73" spans="1:23" ht="15.75" customHeight="1" x14ac:dyDescent="0.2">
      <c r="A73" s="211" t="s">
        <v>127</v>
      </c>
      <c r="B73" s="23"/>
      <c r="C73" s="23"/>
      <c r="D73" s="23"/>
      <c r="E73" s="23"/>
      <c r="F73" s="204"/>
      <c r="G73" s="204"/>
      <c r="H73" s="204"/>
      <c r="I73" s="204"/>
      <c r="J73" s="204"/>
      <c r="K73" s="9"/>
      <c r="L73" s="9"/>
      <c r="M73" s="9"/>
      <c r="N73" s="9"/>
      <c r="O73" s="9"/>
      <c r="P73" s="14"/>
      <c r="Q73" s="14"/>
      <c r="R73" s="14"/>
      <c r="S73" s="14"/>
      <c r="T73" s="8"/>
      <c r="U73" s="8"/>
      <c r="V73" s="8"/>
      <c r="W73" s="8"/>
    </row>
    <row r="74" spans="1:23" ht="15.75" customHeight="1" x14ac:dyDescent="0.2">
      <c r="A74" s="205" t="s">
        <v>313</v>
      </c>
      <c r="B74" s="23">
        <f>'Balance Sheet Forecast'!B10/'Income Statement Forecast'!B6</f>
        <v>4.4498501883769914E-2</v>
      </c>
      <c r="C74" s="23">
        <f>'Balance Sheet Forecast'!C10/'Income Statement Forecast'!C6</f>
        <v>3.7341940475326997E-2</v>
      </c>
      <c r="D74" s="23">
        <f>'Balance Sheet Forecast'!D10/'Income Statement Forecast'!D6</f>
        <v>4.8235055906769554E-2</v>
      </c>
      <c r="E74" s="23">
        <f>'Balance Sheet Forecast'!E10/'Income Statement Forecast'!E6</f>
        <v>4.912380556254857E-2</v>
      </c>
      <c r="F74" s="180">
        <f>E74</f>
        <v>4.912380556254857E-2</v>
      </c>
      <c r="G74" s="180">
        <f t="shared" si="2"/>
        <v>4.912380556254857E-2</v>
      </c>
      <c r="H74" s="180">
        <f t="shared" si="2"/>
        <v>4.912380556254857E-2</v>
      </c>
      <c r="I74" s="180">
        <f t="shared" si="2"/>
        <v>4.912380556254857E-2</v>
      </c>
      <c r="J74" s="180">
        <f t="shared" si="2"/>
        <v>4.912380556254857E-2</v>
      </c>
      <c r="K74" s="9"/>
      <c r="L74" s="9"/>
      <c r="M74" s="9"/>
      <c r="N74" s="9"/>
      <c r="O74" s="9"/>
      <c r="P74" s="14"/>
      <c r="Q74" s="14"/>
      <c r="R74" s="14"/>
      <c r="S74" s="14"/>
      <c r="T74" s="8"/>
      <c r="U74" s="8"/>
      <c r="V74" s="8"/>
      <c r="W74" s="8"/>
    </row>
    <row r="75" spans="1:23" ht="15.75" customHeight="1" x14ac:dyDescent="0.2">
      <c r="A75" s="206" t="s">
        <v>314</v>
      </c>
      <c r="B75" s="23"/>
      <c r="C75" s="23"/>
      <c r="D75" s="23"/>
      <c r="E75" s="23"/>
      <c r="F75" s="180">
        <v>4.9099999999999998E-2</v>
      </c>
      <c r="G75" s="180">
        <v>0.05</v>
      </c>
      <c r="H75" s="180">
        <v>5.2999999999999999E-2</v>
      </c>
      <c r="I75" s="180">
        <v>5.8000000000000003E-2</v>
      </c>
      <c r="J75" s="180">
        <v>5.8999999999999997E-2</v>
      </c>
      <c r="K75" s="9"/>
      <c r="L75" s="9"/>
      <c r="M75" s="9"/>
      <c r="N75" s="9"/>
      <c r="O75" s="9"/>
      <c r="P75" s="14"/>
      <c r="Q75" s="14"/>
      <c r="R75" s="14"/>
      <c r="S75" s="14"/>
      <c r="T75" s="8"/>
      <c r="U75" s="8"/>
      <c r="V75" s="8"/>
      <c r="W75" s="8"/>
    </row>
    <row r="76" spans="1:23" ht="15.75" customHeight="1" x14ac:dyDescent="0.2">
      <c r="A76" s="206" t="s">
        <v>315</v>
      </c>
      <c r="B76" s="23"/>
      <c r="C76" s="23"/>
      <c r="D76" s="23"/>
      <c r="E76" s="23"/>
      <c r="F76" s="180">
        <v>4.9099999999999998E-2</v>
      </c>
      <c r="G76" s="180">
        <v>4.5999999999999999E-2</v>
      </c>
      <c r="H76" s="180">
        <v>4.3999999999999997E-2</v>
      </c>
      <c r="I76" s="180">
        <v>0.04</v>
      </c>
      <c r="J76" s="180">
        <v>3.7999999999999999E-2</v>
      </c>
      <c r="K76" s="9"/>
      <c r="L76" s="9"/>
      <c r="M76" s="9"/>
      <c r="N76" s="9"/>
      <c r="O76" s="9"/>
      <c r="P76" s="14"/>
      <c r="Q76" s="14"/>
      <c r="R76" s="14"/>
      <c r="S76" s="14"/>
      <c r="T76" s="8"/>
      <c r="U76" s="8"/>
      <c r="V76" s="8"/>
      <c r="W76" s="8"/>
    </row>
    <row r="77" spans="1:23" ht="15.75" customHeight="1" x14ac:dyDescent="0.2">
      <c r="A77" s="206"/>
      <c r="B77" s="23"/>
      <c r="C77" s="23"/>
      <c r="D77" s="23"/>
      <c r="E77" s="23"/>
      <c r="F77" s="234"/>
      <c r="G77" s="234"/>
      <c r="H77" s="234"/>
      <c r="I77" s="234"/>
      <c r="J77" s="234"/>
      <c r="K77" s="9"/>
      <c r="L77" s="9"/>
      <c r="M77" s="9"/>
      <c r="N77" s="9"/>
      <c r="O77" s="9"/>
      <c r="P77" s="14"/>
      <c r="Q77" s="14"/>
      <c r="R77" s="14"/>
      <c r="S77" s="14"/>
      <c r="T77" s="8"/>
      <c r="U77" s="8"/>
      <c r="V77" s="8"/>
      <c r="W77" s="8"/>
    </row>
    <row r="78" spans="1:23" ht="15.75" customHeight="1" x14ac:dyDescent="0.2">
      <c r="A78" s="210" t="s">
        <v>51</v>
      </c>
      <c r="B78" s="23"/>
      <c r="C78" s="23"/>
      <c r="D78" s="23"/>
      <c r="E78" s="23"/>
      <c r="F78" s="234"/>
      <c r="G78" s="234"/>
      <c r="H78" s="234"/>
      <c r="I78" s="234"/>
      <c r="J78" s="234"/>
      <c r="K78" s="9"/>
      <c r="L78" s="9"/>
      <c r="M78" s="9"/>
      <c r="N78" s="9"/>
      <c r="O78" s="9"/>
      <c r="P78" s="14"/>
      <c r="Q78" s="14"/>
      <c r="R78" s="14"/>
      <c r="S78" s="14"/>
      <c r="T78" s="8"/>
      <c r="U78" s="8"/>
      <c r="V78" s="8"/>
      <c r="W78" s="8"/>
    </row>
    <row r="79" spans="1:23" ht="15.75" customHeight="1" x14ac:dyDescent="0.2">
      <c r="A79" s="205" t="s">
        <v>313</v>
      </c>
      <c r="B79" s="22">
        <f>'Balance Sheet Forecast'!B28/'Income Statement Forecast'!B6</f>
        <v>6.962532261413866E-2</v>
      </c>
      <c r="C79" s="22">
        <f>'Balance Sheet Forecast'!C28/'Income Statement Forecast'!C6</f>
        <v>7.677522303619351E-2</v>
      </c>
      <c r="D79" s="22">
        <f>'Balance Sheet Forecast'!D28/'Income Statement Forecast'!D6</f>
        <v>9.6998807622218727E-2</v>
      </c>
      <c r="E79" s="22">
        <f>'Balance Sheet Forecast'!E28/'Income Statement Forecast'!E6</f>
        <v>0.1016407438622607</v>
      </c>
      <c r="F79" s="176">
        <f t="shared" si="2"/>
        <v>0.1016407438622607</v>
      </c>
      <c r="G79" s="176">
        <f t="shared" si="2"/>
        <v>0.1016407438622607</v>
      </c>
      <c r="H79" s="176">
        <f t="shared" si="2"/>
        <v>0.1016407438622607</v>
      </c>
      <c r="I79" s="176">
        <f t="shared" si="2"/>
        <v>0.1016407438622607</v>
      </c>
      <c r="J79" s="176">
        <f t="shared" si="2"/>
        <v>0.1016407438622607</v>
      </c>
      <c r="K79" s="9"/>
      <c r="L79" s="9"/>
      <c r="M79" s="9"/>
      <c r="N79" s="9"/>
      <c r="O79" s="9"/>
      <c r="P79" s="7"/>
      <c r="Q79" s="6"/>
      <c r="R79" s="6"/>
      <c r="S79" s="6"/>
      <c r="T79" s="8"/>
      <c r="U79" s="8"/>
      <c r="V79" s="8"/>
      <c r="W79" s="8"/>
    </row>
    <row r="80" spans="1:23" ht="15.75" customHeight="1" x14ac:dyDescent="0.2">
      <c r="A80" s="206" t="s">
        <v>314</v>
      </c>
      <c r="B80" s="23"/>
      <c r="C80" s="23"/>
      <c r="D80" s="23"/>
      <c r="E80" s="23"/>
      <c r="F80" s="180">
        <v>0.1016</v>
      </c>
      <c r="G80" s="180">
        <v>9.6000000000000002E-2</v>
      </c>
      <c r="H80" s="180">
        <v>9.4E-2</v>
      </c>
      <c r="I80" s="180">
        <v>9.4E-2</v>
      </c>
      <c r="J80" s="180">
        <v>9.4E-2</v>
      </c>
      <c r="K80" s="9"/>
      <c r="L80" s="9"/>
      <c r="M80" s="9"/>
      <c r="N80" s="9"/>
      <c r="O80" s="9"/>
      <c r="P80" s="14"/>
      <c r="Q80" s="14"/>
      <c r="R80" s="14"/>
      <c r="S80" s="14"/>
      <c r="T80" s="8"/>
      <c r="U80" s="8"/>
      <c r="V80" s="8"/>
      <c r="W80" s="8"/>
    </row>
    <row r="81" spans="1:23" ht="15.75" customHeight="1" x14ac:dyDescent="0.2">
      <c r="A81" s="206" t="s">
        <v>315</v>
      </c>
      <c r="B81" s="23"/>
      <c r="C81" s="23"/>
      <c r="D81" s="23"/>
      <c r="E81" s="23"/>
      <c r="F81" s="180">
        <v>0.1016</v>
      </c>
      <c r="G81" s="180">
        <v>0.11</v>
      </c>
      <c r="H81" s="180">
        <v>0.11</v>
      </c>
      <c r="I81" s="180">
        <v>0.115</v>
      </c>
      <c r="J81" s="180">
        <v>0.12</v>
      </c>
      <c r="K81" s="9"/>
      <c r="L81" s="9"/>
      <c r="M81" s="9"/>
      <c r="N81" s="9"/>
      <c r="O81" s="9"/>
      <c r="P81" s="14"/>
      <c r="Q81" s="14"/>
      <c r="R81" s="14"/>
      <c r="S81" s="14"/>
      <c r="T81" s="8"/>
      <c r="U81" s="8"/>
      <c r="V81" s="8"/>
      <c r="W81" s="8"/>
    </row>
    <row r="82" spans="1:23" ht="15.75" customHeight="1" x14ac:dyDescent="0.2">
      <c r="A82" s="206"/>
      <c r="B82" s="23"/>
      <c r="C82" s="23"/>
      <c r="D82" s="23"/>
      <c r="E82" s="23"/>
      <c r="F82" s="204"/>
      <c r="G82" s="204"/>
      <c r="H82" s="204"/>
      <c r="I82" s="204"/>
      <c r="J82" s="204"/>
      <c r="K82" s="9"/>
      <c r="L82" s="9"/>
      <c r="M82" s="9"/>
      <c r="N82" s="9"/>
      <c r="O82" s="9"/>
      <c r="P82" s="14"/>
      <c r="Q82" s="14"/>
      <c r="R82" s="14"/>
      <c r="S82" s="14"/>
      <c r="T82" s="8"/>
      <c r="U82" s="8"/>
      <c r="V82" s="8"/>
      <c r="W82" s="8"/>
    </row>
    <row r="83" spans="1:23" ht="15.75" customHeight="1" x14ac:dyDescent="0.2">
      <c r="A83" s="211" t="s">
        <v>177</v>
      </c>
      <c r="B83" s="23"/>
      <c r="C83" s="23"/>
      <c r="D83" s="23"/>
      <c r="E83" s="23"/>
      <c r="F83" s="204"/>
      <c r="G83" s="204"/>
      <c r="H83" s="204"/>
      <c r="I83" s="204"/>
      <c r="J83" s="204"/>
      <c r="K83" s="9"/>
      <c r="L83" s="9"/>
      <c r="M83" s="9"/>
      <c r="N83" s="9"/>
      <c r="O83" s="9"/>
      <c r="P83" s="14"/>
      <c r="Q83" s="14"/>
      <c r="R83" s="14"/>
      <c r="S83" s="14"/>
      <c r="T83" s="8"/>
      <c r="U83" s="8"/>
      <c r="V83" s="8"/>
      <c r="W83" s="8"/>
    </row>
    <row r="84" spans="1:23" ht="15.75" customHeight="1" x14ac:dyDescent="0.2">
      <c r="A84" s="205" t="s">
        <v>313</v>
      </c>
      <c r="B84" s="23">
        <f>'Balance Sheet Forecast'!B35/'Income Statement Forecast'!B6</f>
        <v>0.2027796730843395</v>
      </c>
      <c r="C84" s="23">
        <f>'Balance Sheet Forecast'!C35/'Income Statement Forecast'!C6</f>
        <v>0.16162568603273617</v>
      </c>
      <c r="D84" s="23">
        <f>'Balance Sheet Forecast'!D35/'Income Statement Forecast'!D6</f>
        <v>0.15450291345137124</v>
      </c>
      <c r="E84" s="23">
        <f>'Balance Sheet Forecast'!E35/'Income Statement Forecast'!E6</f>
        <v>5.2823414805004326E-2</v>
      </c>
      <c r="F84" s="180">
        <f>E84</f>
        <v>5.2823414805004326E-2</v>
      </c>
      <c r="G84" s="180">
        <f t="shared" si="2"/>
        <v>5.2823414805004326E-2</v>
      </c>
      <c r="H84" s="180">
        <f t="shared" si="2"/>
        <v>5.2823414805004326E-2</v>
      </c>
      <c r="I84" s="180">
        <f t="shared" si="2"/>
        <v>5.2823414805004326E-2</v>
      </c>
      <c r="J84" s="180">
        <f t="shared" si="2"/>
        <v>5.2823414805004326E-2</v>
      </c>
      <c r="K84" s="9"/>
      <c r="L84" s="9"/>
      <c r="M84" s="9"/>
      <c r="N84" s="9"/>
      <c r="O84" s="9"/>
      <c r="P84" s="14"/>
      <c r="Q84" s="14"/>
      <c r="R84" s="14"/>
      <c r="S84" s="14"/>
      <c r="T84" s="8"/>
      <c r="U84" s="8"/>
      <c r="V84" s="8"/>
      <c r="W84" s="8"/>
    </row>
    <row r="85" spans="1:23" ht="15.75" customHeight="1" x14ac:dyDescent="0.2">
      <c r="A85" s="206" t="s">
        <v>314</v>
      </c>
      <c r="B85" s="23"/>
      <c r="C85" s="23"/>
      <c r="D85" s="23"/>
      <c r="E85" s="23"/>
      <c r="F85" s="180">
        <v>5.28E-2</v>
      </c>
      <c r="G85" s="180">
        <v>5.1999999999999998E-2</v>
      </c>
      <c r="H85" s="180">
        <v>4.8000000000000001E-2</v>
      </c>
      <c r="I85" s="180">
        <v>4.8000000000000001E-2</v>
      </c>
      <c r="J85" s="180">
        <v>4.8000000000000001E-2</v>
      </c>
      <c r="K85" s="9"/>
      <c r="L85" s="9"/>
      <c r="M85" s="9"/>
      <c r="N85" s="9"/>
      <c r="O85" s="9"/>
      <c r="P85" s="14"/>
      <c r="Q85" s="14"/>
      <c r="R85" s="14"/>
      <c r="S85" s="14"/>
      <c r="T85" s="8"/>
      <c r="U85" s="8"/>
      <c r="V85" s="8"/>
      <c r="W85" s="8"/>
    </row>
    <row r="86" spans="1:23" ht="15.75" customHeight="1" x14ac:dyDescent="0.2">
      <c r="A86" s="206" t="s">
        <v>315</v>
      </c>
      <c r="B86" s="23"/>
      <c r="C86" s="23"/>
      <c r="D86" s="23"/>
      <c r="E86" s="23"/>
      <c r="F86" s="180">
        <v>5.28E-2</v>
      </c>
      <c r="G86" s="180">
        <v>0.1</v>
      </c>
      <c r="H86" s="180">
        <v>0.12</v>
      </c>
      <c r="I86" s="180">
        <v>0.12</v>
      </c>
      <c r="J86" s="180">
        <v>0.14000000000000001</v>
      </c>
      <c r="K86" s="9"/>
      <c r="L86" s="9"/>
      <c r="M86" s="9"/>
      <c r="N86" s="9"/>
      <c r="O86" s="9"/>
      <c r="P86" s="14"/>
      <c r="Q86" s="14"/>
      <c r="R86" s="14"/>
      <c r="S86" s="14"/>
      <c r="T86" s="8"/>
      <c r="U86" s="8"/>
      <c r="V86" s="8"/>
      <c r="W86" s="8"/>
    </row>
    <row r="87" spans="1:23" ht="15.75" customHeight="1" x14ac:dyDescent="0.2">
      <c r="A87" s="206"/>
      <c r="B87" s="23"/>
      <c r="C87" s="23"/>
      <c r="D87" s="23"/>
      <c r="E87" s="23"/>
      <c r="F87" s="204"/>
      <c r="G87" s="204"/>
      <c r="H87" s="204"/>
      <c r="I87" s="204"/>
      <c r="J87" s="204"/>
      <c r="K87" s="9"/>
      <c r="L87" s="9"/>
      <c r="M87" s="9"/>
      <c r="N87" s="9"/>
      <c r="O87" s="9"/>
      <c r="P87" s="14"/>
      <c r="Q87" s="14"/>
      <c r="R87" s="14"/>
      <c r="S87" s="14"/>
      <c r="T87" s="8"/>
      <c r="U87" s="8"/>
      <c r="V87" s="8"/>
      <c r="W87" s="8"/>
    </row>
    <row r="88" spans="1:23" ht="15.75" customHeight="1" x14ac:dyDescent="0.2">
      <c r="A88" s="211" t="s">
        <v>294</v>
      </c>
      <c r="B88" s="23"/>
      <c r="C88" s="23"/>
      <c r="D88" s="23"/>
      <c r="E88" s="23"/>
      <c r="F88" s="204"/>
      <c r="G88" s="204"/>
      <c r="H88" s="204"/>
      <c r="I88" s="204"/>
      <c r="J88" s="204"/>
      <c r="K88" s="9"/>
      <c r="L88" s="9"/>
      <c r="M88" s="9"/>
      <c r="N88" s="9"/>
      <c r="O88" s="9"/>
      <c r="P88" s="14"/>
      <c r="Q88" s="14"/>
      <c r="R88" s="14"/>
      <c r="S88" s="14"/>
      <c r="T88" s="8"/>
      <c r="U88" s="8"/>
      <c r="V88" s="8"/>
      <c r="W88" s="8"/>
    </row>
    <row r="89" spans="1:23" s="15" customFormat="1" ht="15.75" customHeight="1" x14ac:dyDescent="0.2">
      <c r="A89" s="205" t="s">
        <v>313</v>
      </c>
      <c r="B89" s="190">
        <f>'Balance Sheet Forecast'!B36/'Income Statement Forecast'!B6</f>
        <v>0.21175353763089977</v>
      </c>
      <c r="C89" s="190">
        <f>'Balance Sheet Forecast'!C36/'Income Statement Forecast'!C6</f>
        <v>0.14867870699451174</v>
      </c>
      <c r="D89" s="190">
        <f>'Balance Sheet Forecast'!D36/'Income Statement Forecast'!D6</f>
        <v>0.1334450718801323</v>
      </c>
      <c r="E89" s="190">
        <f>'Balance Sheet Forecast'!E36/'Income Statement Forecast'!E6</f>
        <v>0.11701929707424394</v>
      </c>
      <c r="F89" s="185">
        <f>E89</f>
        <v>0.11701929707424394</v>
      </c>
      <c r="G89" s="180">
        <f t="shared" si="2"/>
        <v>0.11701929707424394</v>
      </c>
      <c r="H89" s="180">
        <f t="shared" si="2"/>
        <v>0.11701929707424394</v>
      </c>
      <c r="I89" s="180">
        <f t="shared" si="2"/>
        <v>0.11701929707424394</v>
      </c>
      <c r="J89" s="180">
        <f t="shared" si="2"/>
        <v>0.11701929707424394</v>
      </c>
    </row>
    <row r="90" spans="1:23" s="15" customFormat="1" ht="15.75" customHeight="1" x14ac:dyDescent="0.2">
      <c r="A90" s="206" t="s">
        <v>314</v>
      </c>
      <c r="B90" s="190"/>
      <c r="C90" s="190"/>
      <c r="D90" s="190"/>
      <c r="E90" s="190"/>
      <c r="F90" s="185">
        <v>0.11700000000000001</v>
      </c>
      <c r="G90" s="180">
        <v>0.115</v>
      </c>
      <c r="H90" s="180">
        <v>0.11</v>
      </c>
      <c r="I90" s="180">
        <v>0.1</v>
      </c>
      <c r="J90" s="180">
        <v>0.1</v>
      </c>
    </row>
    <row r="91" spans="1:23" s="15" customFormat="1" ht="15.75" customHeight="1" x14ac:dyDescent="0.2">
      <c r="A91" s="206" t="s">
        <v>315</v>
      </c>
      <c r="B91" s="190"/>
      <c r="C91" s="190"/>
      <c r="D91" s="190"/>
      <c r="E91" s="190"/>
      <c r="F91" s="185">
        <v>0.11700000000000001</v>
      </c>
      <c r="G91" s="180">
        <v>0.12</v>
      </c>
      <c r="H91" s="180">
        <v>0.125</v>
      </c>
      <c r="I91" s="180">
        <v>0.125</v>
      </c>
      <c r="J91" s="180">
        <v>0.13</v>
      </c>
    </row>
    <row r="92" spans="1:23" ht="15.75" customHeight="1" x14ac:dyDescent="0.2">
      <c r="A92" s="14"/>
      <c r="B92" s="23"/>
      <c r="C92" s="23"/>
      <c r="D92" s="23"/>
      <c r="E92" s="23"/>
      <c r="F92" s="83"/>
      <c r="G92" s="81"/>
      <c r="H92" s="81"/>
      <c r="I92" s="81"/>
      <c r="J92" s="81"/>
      <c r="K92" s="9"/>
      <c r="L92" s="9"/>
      <c r="M92" s="9"/>
      <c r="N92" s="9"/>
      <c r="O92" s="9"/>
      <c r="P92" s="14"/>
      <c r="Q92" s="14"/>
      <c r="R92" s="14"/>
      <c r="S92" s="14"/>
      <c r="T92" s="8"/>
      <c r="U92" s="8"/>
      <c r="V92" s="8"/>
      <c r="W92" s="8"/>
    </row>
    <row r="93" spans="1:23" ht="15.75" customHeight="1" x14ac:dyDescent="0.2">
      <c r="A93" s="217" t="s">
        <v>116</v>
      </c>
      <c r="B93" s="222"/>
      <c r="C93" s="222"/>
      <c r="D93" s="222"/>
      <c r="E93" s="222"/>
      <c r="F93" s="223"/>
      <c r="G93" s="224"/>
      <c r="H93" s="224"/>
      <c r="I93" s="224"/>
      <c r="J93" s="224"/>
      <c r="K93" s="12"/>
      <c r="L93" s="12"/>
      <c r="M93" s="12"/>
      <c r="N93" s="12"/>
      <c r="O93" s="12"/>
      <c r="P93" s="6"/>
      <c r="Q93" s="6"/>
      <c r="R93" s="6"/>
      <c r="S93" s="6"/>
      <c r="T93" s="8"/>
      <c r="U93" s="8"/>
      <c r="V93" s="8"/>
      <c r="W93" s="8"/>
    </row>
    <row r="94" spans="1:23" ht="15.75" customHeight="1" x14ac:dyDescent="0.2">
      <c r="A94" s="87"/>
      <c r="B94" s="215"/>
      <c r="C94" s="215"/>
      <c r="D94" s="215"/>
      <c r="E94" s="215"/>
      <c r="F94" s="216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8"/>
      <c r="U94" s="8"/>
      <c r="V94" s="8"/>
      <c r="W94" s="8"/>
    </row>
    <row r="95" spans="1:23" ht="15.75" customHeight="1" x14ac:dyDescent="0.2">
      <c r="A95" s="210" t="s">
        <v>74</v>
      </c>
      <c r="B95" s="215"/>
      <c r="C95" s="215"/>
      <c r="D95" s="215"/>
      <c r="E95" s="215"/>
      <c r="F95" s="216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8"/>
      <c r="U95" s="8"/>
      <c r="V95" s="8"/>
      <c r="W95" s="8"/>
    </row>
    <row r="96" spans="1:23" ht="15.75" customHeight="1" x14ac:dyDescent="0.2">
      <c r="A96" s="205" t="s">
        <v>313</v>
      </c>
      <c r="B96" s="22">
        <f>-'Cash Flows Forecast'!C11/'Income Statement Forecast'!B6</f>
        <v>5.3071879913376252E-2</v>
      </c>
      <c r="C96" s="22">
        <f>-'Cash Flows Forecast'!D11/'Income Statement Forecast'!C6</f>
        <v>5.9754357970068422E-2</v>
      </c>
      <c r="D96" s="22">
        <f>-'Cash Flows Forecast'!E11/'Income Statement Forecast'!D6</f>
        <v>5.5895520709127317E-2</v>
      </c>
      <c r="E96" s="22">
        <f>-'Cash Flows Forecast'!F11/'Income Statement Forecast'!E6</f>
        <v>5.9237530237190923E-2</v>
      </c>
      <c r="F96" s="176">
        <f>E96</f>
        <v>5.9237530237190923E-2</v>
      </c>
      <c r="G96" s="176">
        <f t="shared" ref="G96:J96" si="3">F96</f>
        <v>5.9237530237190923E-2</v>
      </c>
      <c r="H96" s="176">
        <f t="shared" si="3"/>
        <v>5.9237530237190923E-2</v>
      </c>
      <c r="I96" s="176">
        <f t="shared" si="3"/>
        <v>5.9237530237190923E-2</v>
      </c>
      <c r="J96" s="176">
        <f t="shared" si="3"/>
        <v>5.9237530237190923E-2</v>
      </c>
      <c r="K96" s="6"/>
      <c r="L96" s="6"/>
      <c r="M96" s="6"/>
      <c r="N96" s="6"/>
      <c r="O96" s="6"/>
      <c r="P96" s="6"/>
      <c r="Q96" s="6"/>
      <c r="R96" s="6"/>
      <c r="S96" s="6"/>
      <c r="T96" s="8"/>
      <c r="U96" s="8"/>
      <c r="V96" s="8"/>
      <c r="W96" s="8"/>
    </row>
    <row r="97" spans="1:23" ht="15.75" customHeight="1" x14ac:dyDescent="0.2">
      <c r="A97" s="206" t="s">
        <v>314</v>
      </c>
      <c r="B97" s="23"/>
      <c r="C97" s="23"/>
      <c r="D97" s="23"/>
      <c r="E97" s="23"/>
      <c r="F97" s="180">
        <v>5.9200000000000003E-2</v>
      </c>
      <c r="G97" s="180">
        <v>0.06</v>
      </c>
      <c r="H97" s="180">
        <v>6.2E-2</v>
      </c>
      <c r="I97" s="180">
        <v>6.4000000000000001E-2</v>
      </c>
      <c r="J97" s="180">
        <v>6.5000000000000002E-2</v>
      </c>
      <c r="K97" s="14"/>
      <c r="L97" s="14"/>
      <c r="M97" s="14"/>
      <c r="N97" s="14"/>
      <c r="O97" s="14"/>
      <c r="P97" s="14"/>
      <c r="Q97" s="14"/>
      <c r="R97" s="14"/>
      <c r="S97" s="14"/>
      <c r="T97" s="8"/>
      <c r="U97" s="8"/>
      <c r="V97" s="8"/>
      <c r="W97" s="8"/>
    </row>
    <row r="98" spans="1:23" ht="15.75" customHeight="1" x14ac:dyDescent="0.2">
      <c r="A98" s="206" t="s">
        <v>315</v>
      </c>
      <c r="B98" s="23"/>
      <c r="C98" s="23"/>
      <c r="D98" s="23"/>
      <c r="E98" s="23"/>
      <c r="F98" s="180">
        <v>5.9200000000000003E-2</v>
      </c>
      <c r="G98" s="180">
        <v>5.5E-2</v>
      </c>
      <c r="H98" s="180">
        <v>5.5E-2</v>
      </c>
      <c r="I98" s="180">
        <v>5.3999999999999999E-2</v>
      </c>
      <c r="J98" s="180">
        <v>5.2999999999999999E-2</v>
      </c>
      <c r="K98" s="14"/>
      <c r="L98" s="14"/>
      <c r="M98" s="14"/>
      <c r="N98" s="14"/>
      <c r="O98" s="14"/>
      <c r="P98" s="14"/>
      <c r="Q98" s="14"/>
      <c r="R98" s="14"/>
      <c r="S98" s="14"/>
      <c r="T98" s="8"/>
      <c r="U98" s="8"/>
      <c r="V98" s="8"/>
      <c r="W98" s="8"/>
    </row>
    <row r="99" spans="1:23" ht="15.75" customHeight="1" x14ac:dyDescent="0.2">
      <c r="A99" s="206"/>
      <c r="B99" s="23"/>
      <c r="C99" s="23"/>
      <c r="D99" s="23"/>
      <c r="E99" s="23"/>
      <c r="F99" s="204"/>
      <c r="G99" s="204"/>
      <c r="H99" s="204"/>
      <c r="I99" s="204"/>
      <c r="J99" s="204"/>
      <c r="K99" s="14"/>
      <c r="L99" s="14"/>
      <c r="M99" s="14"/>
      <c r="N99" s="14"/>
      <c r="O99" s="14"/>
      <c r="P99" s="14"/>
      <c r="Q99" s="14"/>
      <c r="R99" s="14"/>
      <c r="S99" s="14"/>
      <c r="T99" s="8"/>
      <c r="U99" s="8"/>
      <c r="V99" s="8"/>
      <c r="W99" s="8"/>
    </row>
    <row r="100" spans="1:23" ht="15.75" customHeight="1" x14ac:dyDescent="0.2">
      <c r="A100" s="210" t="s">
        <v>75</v>
      </c>
      <c r="B100" s="23"/>
      <c r="C100" s="23"/>
      <c r="D100" s="23"/>
      <c r="E100" s="23"/>
      <c r="F100" s="204"/>
      <c r="G100" s="204"/>
      <c r="H100" s="204"/>
      <c r="I100" s="204"/>
      <c r="J100" s="204"/>
      <c r="K100" s="14"/>
      <c r="L100" s="14"/>
      <c r="M100" s="14"/>
      <c r="N100" s="14"/>
      <c r="O100" s="14"/>
      <c r="P100" s="14"/>
      <c r="Q100" s="14"/>
      <c r="R100" s="14"/>
      <c r="S100" s="14"/>
      <c r="T100" s="8"/>
      <c r="U100" s="8"/>
      <c r="V100" s="8"/>
      <c r="W100" s="8"/>
    </row>
    <row r="101" spans="1:23" ht="15.75" customHeight="1" x14ac:dyDescent="0.2">
      <c r="A101" s="205" t="s">
        <v>313</v>
      </c>
      <c r="B101" s="22">
        <f>-'Cash Flows Forecast'!C15/'Income Statement Forecast'!B6</f>
        <v>0</v>
      </c>
      <c r="C101" s="22">
        <f>-'Cash Flows Forecast'!D15/'Income Statement Forecast'!C6</f>
        <v>0</v>
      </c>
      <c r="D101" s="22">
        <v>0</v>
      </c>
      <c r="E101" s="22">
        <f>-'Cash Flows Forecast'!F15/'Income Statement Forecast'!E6</f>
        <v>1.4951675222469107E-2</v>
      </c>
      <c r="F101" s="207">
        <f>E101</f>
        <v>1.4951675222469107E-2</v>
      </c>
      <c r="G101" s="207">
        <f t="shared" ref="G101:J101" si="4">F101</f>
        <v>1.4951675222469107E-2</v>
      </c>
      <c r="H101" s="207">
        <f t="shared" si="4"/>
        <v>1.4951675222469107E-2</v>
      </c>
      <c r="I101" s="207">
        <f t="shared" si="4"/>
        <v>1.4951675222469107E-2</v>
      </c>
      <c r="J101" s="207">
        <f t="shared" si="4"/>
        <v>1.4951675222469107E-2</v>
      </c>
      <c r="K101" s="6"/>
      <c r="L101" s="6"/>
      <c r="M101" s="6"/>
      <c r="N101" s="6"/>
      <c r="O101" s="6"/>
      <c r="P101" s="6"/>
      <c r="Q101" s="6"/>
      <c r="R101" s="6"/>
      <c r="S101" s="6"/>
      <c r="T101" s="8"/>
      <c r="U101" s="8"/>
      <c r="V101" s="8"/>
      <c r="W101" s="8"/>
    </row>
    <row r="102" spans="1:23" ht="15.75" customHeight="1" x14ac:dyDescent="0.2">
      <c r="A102" s="206" t="s">
        <v>314</v>
      </c>
      <c r="B102" s="6"/>
      <c r="C102" s="6"/>
      <c r="D102" s="6"/>
      <c r="E102" s="6"/>
      <c r="F102" s="207">
        <v>1.4999999999999999E-2</v>
      </c>
      <c r="G102" s="207">
        <v>1.4E-2</v>
      </c>
      <c r="H102" s="207">
        <v>1.4E-2</v>
      </c>
      <c r="I102" s="207">
        <v>1.2999999999999999E-2</v>
      </c>
      <c r="J102" s="207">
        <v>1.2999999999999999E-2</v>
      </c>
      <c r="K102" s="6"/>
      <c r="L102" s="6"/>
      <c r="M102" s="6"/>
      <c r="N102" s="6"/>
      <c r="O102" s="6"/>
      <c r="P102" s="6"/>
      <c r="Q102" s="6"/>
      <c r="R102" s="6"/>
      <c r="S102" s="6"/>
      <c r="T102" s="8"/>
      <c r="U102" s="8"/>
      <c r="V102" s="8"/>
      <c r="W102" s="8"/>
    </row>
    <row r="103" spans="1:23" ht="15.75" customHeight="1" x14ac:dyDescent="0.2">
      <c r="A103" s="206" t="s">
        <v>315</v>
      </c>
      <c r="B103" s="6"/>
      <c r="C103" s="6"/>
      <c r="D103" s="6"/>
      <c r="E103" s="6"/>
      <c r="F103" s="207">
        <v>1.4999999999999999E-2</v>
      </c>
      <c r="G103" s="207">
        <v>1.6E-2</v>
      </c>
      <c r="H103" s="207">
        <v>1.6E-2</v>
      </c>
      <c r="I103" s="207">
        <v>1.7000000000000001E-2</v>
      </c>
      <c r="J103" s="207">
        <v>1.7000000000000001E-2</v>
      </c>
      <c r="K103" s="6"/>
      <c r="L103" s="6"/>
      <c r="M103" s="6"/>
      <c r="N103" s="6"/>
      <c r="O103" s="6"/>
      <c r="P103" s="6"/>
      <c r="Q103" s="6"/>
      <c r="R103" s="6"/>
      <c r="S103" s="6"/>
      <c r="T103" s="8"/>
      <c r="U103" s="8"/>
      <c r="V103" s="8"/>
      <c r="W103" s="8"/>
    </row>
    <row r="104" spans="1:23" ht="15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8"/>
      <c r="U104" s="8"/>
      <c r="V104" s="8"/>
      <c r="W104" s="8"/>
    </row>
    <row r="105" spans="1:23" ht="15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8"/>
      <c r="U105" s="8"/>
      <c r="V105" s="8"/>
      <c r="W105" s="8"/>
    </row>
    <row r="106" spans="1:23" ht="15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8"/>
      <c r="U106" s="8"/>
      <c r="V106" s="8"/>
      <c r="W106" s="8"/>
    </row>
    <row r="107" spans="1:23" ht="15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8"/>
      <c r="U107" s="8"/>
      <c r="V107" s="8"/>
      <c r="W107" s="8"/>
    </row>
    <row r="108" spans="1:23" ht="15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8"/>
      <c r="U108" s="8"/>
      <c r="V108" s="8"/>
      <c r="W108" s="8"/>
    </row>
    <row r="109" spans="1:23" ht="15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8"/>
      <c r="U109" s="8"/>
      <c r="V109" s="8"/>
      <c r="W109" s="8"/>
    </row>
    <row r="110" spans="1:23" ht="15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8"/>
      <c r="U110" s="8"/>
      <c r="V110" s="8"/>
      <c r="W110" s="8"/>
    </row>
    <row r="111" spans="1:23" ht="15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8"/>
      <c r="U111" s="8"/>
      <c r="V111" s="8"/>
      <c r="W111" s="8"/>
    </row>
    <row r="112" spans="1:23" ht="15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8"/>
      <c r="U112" s="8"/>
      <c r="V112" s="8"/>
      <c r="W112" s="8"/>
    </row>
    <row r="113" spans="1:23" ht="15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8"/>
      <c r="U113" s="8"/>
      <c r="V113" s="8"/>
      <c r="W113" s="8"/>
    </row>
    <row r="114" spans="1:23" ht="15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8"/>
      <c r="U114" s="8"/>
      <c r="V114" s="8"/>
      <c r="W114" s="8"/>
    </row>
    <row r="115" spans="1:23" ht="15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8"/>
      <c r="U115" s="8"/>
      <c r="V115" s="8"/>
      <c r="W115" s="8"/>
    </row>
    <row r="116" spans="1:23" ht="15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8"/>
      <c r="U116" s="8"/>
      <c r="V116" s="8"/>
      <c r="W116" s="8"/>
    </row>
    <row r="117" spans="1:23" ht="15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8"/>
      <c r="U117" s="8"/>
      <c r="V117" s="8"/>
      <c r="W117" s="8"/>
    </row>
    <row r="118" spans="1:23" ht="15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8"/>
      <c r="U118" s="8"/>
      <c r="V118" s="8"/>
      <c r="W118" s="8"/>
    </row>
    <row r="119" spans="1:23" ht="15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8"/>
      <c r="U119" s="8"/>
      <c r="V119" s="8"/>
      <c r="W119" s="8"/>
    </row>
    <row r="120" spans="1:23" ht="15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8"/>
      <c r="U120" s="8"/>
      <c r="V120" s="8"/>
      <c r="W120" s="8"/>
    </row>
    <row r="121" spans="1:23" ht="15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8"/>
      <c r="U121" s="8"/>
      <c r="V121" s="8"/>
      <c r="W121" s="8"/>
    </row>
    <row r="122" spans="1:23" ht="15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8"/>
      <c r="U122" s="8"/>
      <c r="V122" s="8"/>
      <c r="W122" s="8"/>
    </row>
    <row r="123" spans="1:23" ht="15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8"/>
      <c r="U123" s="8"/>
      <c r="V123" s="8"/>
      <c r="W123" s="8"/>
    </row>
    <row r="124" spans="1:23" ht="15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8"/>
      <c r="U124" s="8"/>
      <c r="V124" s="8"/>
      <c r="W124" s="8"/>
    </row>
    <row r="125" spans="1:23" ht="15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8"/>
      <c r="U125" s="8"/>
      <c r="V125" s="8"/>
      <c r="W125" s="8"/>
    </row>
    <row r="126" spans="1:23" ht="15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8"/>
      <c r="U126" s="8"/>
      <c r="V126" s="8"/>
      <c r="W126" s="8"/>
    </row>
    <row r="127" spans="1:23" ht="15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8"/>
      <c r="U127" s="8"/>
      <c r="V127" s="8"/>
      <c r="W127" s="8"/>
    </row>
    <row r="128" spans="1:23" ht="15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8"/>
      <c r="U128" s="8"/>
      <c r="V128" s="8"/>
      <c r="W128" s="8"/>
    </row>
    <row r="129" spans="1:23" ht="15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8"/>
      <c r="U129" s="8"/>
      <c r="V129" s="8"/>
      <c r="W129" s="8"/>
    </row>
    <row r="130" spans="1:23" ht="15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8"/>
      <c r="U130" s="8"/>
      <c r="V130" s="8"/>
      <c r="W130" s="8"/>
    </row>
    <row r="131" spans="1:23" ht="15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8"/>
      <c r="U131" s="8"/>
      <c r="V131" s="8"/>
      <c r="W131" s="8"/>
    </row>
    <row r="132" spans="1:23" ht="15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8"/>
      <c r="U132" s="8"/>
      <c r="V132" s="8"/>
      <c r="W132" s="8"/>
    </row>
    <row r="133" spans="1:23" ht="15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8"/>
      <c r="U133" s="8"/>
      <c r="V133" s="8"/>
      <c r="W133" s="8"/>
    </row>
    <row r="134" spans="1:23" ht="15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8"/>
      <c r="U134" s="8"/>
      <c r="V134" s="8"/>
      <c r="W134" s="8"/>
    </row>
    <row r="135" spans="1:23" ht="15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8"/>
      <c r="U135" s="8"/>
      <c r="V135" s="8"/>
      <c r="W135" s="8"/>
    </row>
    <row r="136" spans="1:23" ht="15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8"/>
      <c r="U136" s="8"/>
      <c r="V136" s="8"/>
      <c r="W136" s="8"/>
    </row>
    <row r="137" spans="1:23" ht="15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8"/>
      <c r="U137" s="8"/>
      <c r="V137" s="8"/>
      <c r="W137" s="8"/>
    </row>
    <row r="138" spans="1:23" ht="15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8"/>
      <c r="U138" s="8"/>
      <c r="V138" s="8"/>
      <c r="W138" s="8"/>
    </row>
    <row r="139" spans="1:23" ht="15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8"/>
      <c r="U139" s="8"/>
      <c r="V139" s="8"/>
      <c r="W139" s="8"/>
    </row>
    <row r="140" spans="1:23" ht="15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8"/>
      <c r="U140" s="8"/>
      <c r="V140" s="8"/>
      <c r="W140" s="8"/>
    </row>
    <row r="141" spans="1:23" ht="15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8"/>
      <c r="U141" s="8"/>
      <c r="V141" s="8"/>
      <c r="W141" s="8"/>
    </row>
    <row r="142" spans="1:23" ht="15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8"/>
      <c r="U142" s="8"/>
      <c r="V142" s="8"/>
      <c r="W142" s="8"/>
    </row>
    <row r="143" spans="1:23" ht="15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8"/>
      <c r="U143" s="8"/>
      <c r="V143" s="8"/>
      <c r="W143" s="8"/>
    </row>
    <row r="144" spans="1:23" ht="15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8"/>
      <c r="U144" s="8"/>
      <c r="V144" s="8"/>
      <c r="W144" s="8"/>
    </row>
    <row r="145" spans="1:23" ht="15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8"/>
      <c r="U145" s="8"/>
      <c r="V145" s="8"/>
      <c r="W145" s="8"/>
    </row>
    <row r="146" spans="1:23" ht="15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8"/>
      <c r="U146" s="8"/>
      <c r="V146" s="8"/>
      <c r="W146" s="8"/>
    </row>
    <row r="147" spans="1:23" ht="15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8"/>
      <c r="U147" s="8"/>
      <c r="V147" s="8"/>
      <c r="W147" s="8"/>
    </row>
    <row r="148" spans="1:23" ht="15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8"/>
      <c r="U148" s="8"/>
      <c r="V148" s="8"/>
      <c r="W148" s="8"/>
    </row>
    <row r="149" spans="1:23" ht="15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8"/>
      <c r="U149" s="8"/>
      <c r="V149" s="8"/>
      <c r="W149" s="8"/>
    </row>
    <row r="150" spans="1:23" ht="15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8"/>
      <c r="U150" s="8"/>
      <c r="V150" s="8"/>
      <c r="W150" s="8"/>
    </row>
    <row r="151" spans="1:23" ht="15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8"/>
      <c r="U151" s="8"/>
      <c r="V151" s="8"/>
      <c r="W151" s="8"/>
    </row>
    <row r="152" spans="1:23" ht="15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8"/>
      <c r="U152" s="8"/>
      <c r="V152" s="8"/>
      <c r="W152" s="8"/>
    </row>
    <row r="153" spans="1:23" ht="15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8"/>
      <c r="U153" s="8"/>
      <c r="V153" s="8"/>
      <c r="W153" s="8"/>
    </row>
    <row r="154" spans="1:23" ht="15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8"/>
      <c r="U154" s="8"/>
      <c r="V154" s="8"/>
      <c r="W154" s="8"/>
    </row>
    <row r="155" spans="1:23" ht="15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8"/>
      <c r="U155" s="8"/>
      <c r="V155" s="8"/>
      <c r="W155" s="8"/>
    </row>
    <row r="156" spans="1:23" ht="15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8"/>
      <c r="U156" s="8"/>
      <c r="V156" s="8"/>
      <c r="W156" s="8"/>
    </row>
    <row r="157" spans="1:23" ht="15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8"/>
      <c r="U157" s="8"/>
      <c r="V157" s="8"/>
      <c r="W157" s="8"/>
    </row>
    <row r="158" spans="1:23" ht="15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8"/>
      <c r="U158" s="8"/>
      <c r="V158" s="8"/>
      <c r="W158" s="8"/>
    </row>
    <row r="159" spans="1:23" ht="15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8"/>
      <c r="U159" s="8"/>
      <c r="V159" s="8"/>
      <c r="W159" s="8"/>
    </row>
    <row r="160" spans="1:23" ht="15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8"/>
      <c r="U160" s="8"/>
      <c r="V160" s="8"/>
      <c r="W160" s="8"/>
    </row>
    <row r="161" spans="1:23" ht="15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8"/>
      <c r="U161" s="8"/>
      <c r="V161" s="8"/>
      <c r="W161" s="8"/>
    </row>
    <row r="162" spans="1:23" ht="15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8"/>
      <c r="U162" s="8"/>
      <c r="V162" s="8"/>
      <c r="W162" s="8"/>
    </row>
    <row r="163" spans="1:23" ht="15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8"/>
      <c r="U163" s="8"/>
      <c r="V163" s="8"/>
      <c r="W163" s="8"/>
    </row>
    <row r="164" spans="1:23" ht="15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8"/>
      <c r="U164" s="8"/>
      <c r="V164" s="8"/>
      <c r="W164" s="8"/>
    </row>
    <row r="165" spans="1:23" ht="15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8"/>
      <c r="U165" s="8"/>
      <c r="V165" s="8"/>
      <c r="W165" s="8"/>
    </row>
    <row r="166" spans="1:23" ht="15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8"/>
      <c r="U166" s="8"/>
      <c r="V166" s="8"/>
      <c r="W166" s="8"/>
    </row>
    <row r="167" spans="1:23" ht="15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8"/>
      <c r="U167" s="8"/>
      <c r="V167" s="8"/>
      <c r="W167" s="8"/>
    </row>
    <row r="168" spans="1:23" ht="15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8"/>
      <c r="U168" s="8"/>
      <c r="V168" s="8"/>
      <c r="W168" s="8"/>
    </row>
    <row r="169" spans="1:23" ht="15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8"/>
      <c r="U169" s="8"/>
      <c r="V169" s="8"/>
      <c r="W169" s="8"/>
    </row>
    <row r="170" spans="1:23" ht="15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8"/>
      <c r="U170" s="8"/>
      <c r="V170" s="8"/>
      <c r="W170" s="8"/>
    </row>
    <row r="171" spans="1:23" ht="15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8"/>
      <c r="U171" s="8"/>
      <c r="V171" s="8"/>
      <c r="W171" s="8"/>
    </row>
    <row r="172" spans="1:23" ht="15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8"/>
      <c r="U172" s="8"/>
      <c r="V172" s="8"/>
      <c r="W172" s="8"/>
    </row>
    <row r="173" spans="1:23" ht="15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8"/>
      <c r="U173" s="8"/>
      <c r="V173" s="8"/>
      <c r="W173" s="8"/>
    </row>
    <row r="174" spans="1:23" ht="15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8"/>
      <c r="U174" s="8"/>
      <c r="V174" s="8"/>
      <c r="W174" s="8"/>
    </row>
    <row r="175" spans="1:23" ht="15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8"/>
      <c r="U175" s="8"/>
      <c r="V175" s="8"/>
      <c r="W175" s="8"/>
    </row>
    <row r="176" spans="1:23" ht="15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8"/>
      <c r="U176" s="8"/>
      <c r="V176" s="8"/>
      <c r="W176" s="8"/>
    </row>
    <row r="177" spans="1:23" ht="15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8"/>
      <c r="U177" s="8"/>
      <c r="V177" s="8"/>
      <c r="W177" s="8"/>
    </row>
    <row r="178" spans="1:23" ht="15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8"/>
      <c r="U178" s="8"/>
      <c r="V178" s="8"/>
      <c r="W178" s="8"/>
    </row>
    <row r="179" spans="1:23" ht="15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8"/>
      <c r="U179" s="8"/>
      <c r="V179" s="8"/>
      <c r="W179" s="8"/>
    </row>
    <row r="180" spans="1:23" ht="15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8"/>
      <c r="U180" s="8"/>
      <c r="V180" s="8"/>
      <c r="W180" s="8"/>
    </row>
    <row r="181" spans="1:23" ht="15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8"/>
      <c r="U181" s="8"/>
      <c r="V181" s="8"/>
      <c r="W181" s="8"/>
    </row>
    <row r="182" spans="1:23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8"/>
      <c r="U182" s="8"/>
      <c r="V182" s="8"/>
      <c r="W182" s="8"/>
    </row>
    <row r="183" spans="1:23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8"/>
      <c r="U183" s="8"/>
      <c r="V183" s="8"/>
      <c r="W183" s="8"/>
    </row>
    <row r="184" spans="1:23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8"/>
      <c r="U184" s="8"/>
      <c r="V184" s="8"/>
      <c r="W184" s="8"/>
    </row>
    <row r="185" spans="1:23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8"/>
      <c r="U185" s="8"/>
      <c r="V185" s="8"/>
      <c r="W185" s="8"/>
    </row>
    <row r="186" spans="1:23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8"/>
      <c r="U186" s="8"/>
      <c r="V186" s="8"/>
      <c r="W186" s="8"/>
    </row>
    <row r="187" spans="1:23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8"/>
      <c r="U187" s="8"/>
      <c r="V187" s="8"/>
      <c r="W187" s="8"/>
    </row>
    <row r="188" spans="1:23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8"/>
      <c r="U188" s="8"/>
      <c r="V188" s="8"/>
      <c r="W188" s="8"/>
    </row>
    <row r="189" spans="1:23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8"/>
      <c r="U189" s="8"/>
      <c r="V189" s="8"/>
      <c r="W189" s="8"/>
    </row>
    <row r="190" spans="1:23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8"/>
      <c r="U190" s="8"/>
      <c r="V190" s="8"/>
      <c r="W190" s="8"/>
    </row>
    <row r="191" spans="1:23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8"/>
      <c r="U191" s="8"/>
      <c r="V191" s="8"/>
      <c r="W191" s="8"/>
    </row>
    <row r="192" spans="1:23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8"/>
      <c r="U192" s="8"/>
      <c r="V192" s="8"/>
      <c r="W192" s="8"/>
    </row>
    <row r="193" spans="1:23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8"/>
      <c r="U193" s="8"/>
      <c r="V193" s="8"/>
      <c r="W193" s="8"/>
    </row>
    <row r="194" spans="1:23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8"/>
      <c r="U194" s="8"/>
      <c r="V194" s="8"/>
      <c r="W194" s="8"/>
    </row>
    <row r="195" spans="1:23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8"/>
      <c r="U195" s="8"/>
      <c r="V195" s="8"/>
      <c r="W195" s="8"/>
    </row>
    <row r="196" spans="1:23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8"/>
      <c r="U196" s="8"/>
      <c r="V196" s="8"/>
      <c r="W196" s="8"/>
    </row>
    <row r="197" spans="1:23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8"/>
      <c r="U197" s="8"/>
      <c r="V197" s="8"/>
      <c r="W197" s="8"/>
    </row>
    <row r="198" spans="1:23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8"/>
      <c r="U198" s="8"/>
      <c r="V198" s="8"/>
      <c r="W198" s="8"/>
    </row>
    <row r="199" spans="1:23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8"/>
      <c r="U199" s="8"/>
      <c r="V199" s="8"/>
      <c r="W199" s="8"/>
    </row>
    <row r="200" spans="1:23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8"/>
      <c r="U200" s="8"/>
      <c r="V200" s="8"/>
      <c r="W200" s="8"/>
    </row>
    <row r="201" spans="1:23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8"/>
      <c r="U201" s="8"/>
      <c r="V201" s="8"/>
      <c r="W201" s="8"/>
    </row>
    <row r="202" spans="1:23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8"/>
      <c r="U202" s="8"/>
      <c r="V202" s="8"/>
      <c r="W202" s="8"/>
    </row>
    <row r="203" spans="1:23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8"/>
      <c r="U203" s="8"/>
      <c r="V203" s="8"/>
      <c r="W203" s="8"/>
    </row>
    <row r="204" spans="1:23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8"/>
      <c r="U204" s="8"/>
      <c r="V204" s="8"/>
      <c r="W204" s="8"/>
    </row>
    <row r="205" spans="1:23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8"/>
      <c r="U205" s="8"/>
      <c r="V205" s="8"/>
      <c r="W205" s="8"/>
    </row>
    <row r="206" spans="1:23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8"/>
      <c r="U206" s="8"/>
      <c r="V206" s="8"/>
      <c r="W206" s="8"/>
    </row>
    <row r="207" spans="1:23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8"/>
      <c r="U207" s="8"/>
      <c r="V207" s="8"/>
      <c r="W207" s="8"/>
    </row>
    <row r="208" spans="1:23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8"/>
      <c r="U208" s="8"/>
      <c r="V208" s="8"/>
      <c r="W208" s="8"/>
    </row>
    <row r="209" spans="1:23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8"/>
      <c r="U209" s="8"/>
      <c r="V209" s="8"/>
      <c r="W209" s="8"/>
    </row>
    <row r="210" spans="1:23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8"/>
      <c r="U210" s="8"/>
      <c r="V210" s="8"/>
      <c r="W210" s="8"/>
    </row>
    <row r="211" spans="1:23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8"/>
      <c r="U211" s="8"/>
      <c r="V211" s="8"/>
      <c r="W211" s="8"/>
    </row>
    <row r="212" spans="1:23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8"/>
      <c r="U212" s="8"/>
      <c r="V212" s="8"/>
      <c r="W212" s="8"/>
    </row>
    <row r="213" spans="1:23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8"/>
      <c r="U213" s="8"/>
      <c r="V213" s="8"/>
      <c r="W213" s="8"/>
    </row>
    <row r="214" spans="1:23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8"/>
      <c r="U214" s="8"/>
      <c r="V214" s="8"/>
      <c r="W214" s="8"/>
    </row>
    <row r="215" spans="1:23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8"/>
      <c r="U215" s="8"/>
      <c r="V215" s="8"/>
      <c r="W215" s="8"/>
    </row>
    <row r="216" spans="1:23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8"/>
      <c r="U216" s="8"/>
      <c r="V216" s="8"/>
      <c r="W216" s="8"/>
    </row>
    <row r="217" spans="1:23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8"/>
      <c r="U217" s="8"/>
      <c r="V217" s="8"/>
      <c r="W217" s="8"/>
    </row>
    <row r="218" spans="1:23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8"/>
      <c r="U218" s="8"/>
      <c r="V218" s="8"/>
      <c r="W218" s="8"/>
    </row>
    <row r="219" spans="1:23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8"/>
      <c r="U219" s="8"/>
      <c r="V219" s="8"/>
      <c r="W219" s="8"/>
    </row>
    <row r="220" spans="1:23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8"/>
      <c r="U220" s="8"/>
      <c r="V220" s="8"/>
      <c r="W220" s="8"/>
    </row>
    <row r="221" spans="1:23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8"/>
      <c r="U221" s="8"/>
      <c r="V221" s="8"/>
      <c r="W221" s="8"/>
    </row>
    <row r="222" spans="1:23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8"/>
      <c r="U222" s="8"/>
      <c r="V222" s="8"/>
      <c r="W222" s="8"/>
    </row>
    <row r="223" spans="1:23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8"/>
      <c r="U223" s="8"/>
      <c r="V223" s="8"/>
      <c r="W223" s="8"/>
    </row>
    <row r="224" spans="1:23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8"/>
      <c r="U224" s="8"/>
      <c r="V224" s="8"/>
      <c r="W224" s="8"/>
    </row>
    <row r="225" spans="1:23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8"/>
      <c r="U225" s="8"/>
      <c r="V225" s="8"/>
      <c r="W225" s="8"/>
    </row>
    <row r="226" spans="1:23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8"/>
      <c r="U226" s="8"/>
      <c r="V226" s="8"/>
      <c r="W226" s="8"/>
    </row>
    <row r="227" spans="1:23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8"/>
      <c r="U227" s="8"/>
      <c r="V227" s="8"/>
      <c r="W227" s="8"/>
    </row>
    <row r="228" spans="1:23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8"/>
      <c r="U228" s="8"/>
      <c r="V228" s="8"/>
      <c r="W228" s="8"/>
    </row>
    <row r="229" spans="1:23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8"/>
      <c r="U229" s="8"/>
      <c r="V229" s="8"/>
      <c r="W229" s="8"/>
    </row>
    <row r="230" spans="1:23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8"/>
      <c r="U230" s="8"/>
      <c r="V230" s="8"/>
      <c r="W230" s="8"/>
    </row>
    <row r="231" spans="1:23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8"/>
      <c r="U231" s="8"/>
      <c r="V231" s="8"/>
      <c r="W231" s="8"/>
    </row>
    <row r="232" spans="1:23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8"/>
      <c r="U232" s="8"/>
      <c r="V232" s="8"/>
      <c r="W232" s="8"/>
    </row>
    <row r="233" spans="1:23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8"/>
      <c r="U233" s="8"/>
      <c r="V233" s="8"/>
      <c r="W233" s="8"/>
    </row>
    <row r="234" spans="1:23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8"/>
      <c r="U234" s="8"/>
      <c r="V234" s="8"/>
      <c r="W234" s="8"/>
    </row>
    <row r="235" spans="1:23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8"/>
      <c r="U235" s="8"/>
      <c r="V235" s="8"/>
      <c r="W235" s="8"/>
    </row>
    <row r="236" spans="1:23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8"/>
      <c r="U236" s="8"/>
      <c r="V236" s="8"/>
      <c r="W236" s="8"/>
    </row>
    <row r="237" spans="1:23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8"/>
      <c r="U237" s="8"/>
      <c r="V237" s="8"/>
      <c r="W237" s="8"/>
    </row>
    <row r="238" spans="1:23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8"/>
      <c r="U238" s="8"/>
      <c r="V238" s="8"/>
      <c r="W238" s="8"/>
    </row>
    <row r="239" spans="1:23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8"/>
      <c r="U239" s="8"/>
      <c r="V239" s="8"/>
      <c r="W239" s="8"/>
    </row>
    <row r="240" spans="1:23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8"/>
      <c r="U240" s="8"/>
      <c r="V240" s="8"/>
      <c r="W240" s="8"/>
    </row>
    <row r="241" spans="1:23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8"/>
      <c r="U241" s="8"/>
      <c r="V241" s="8"/>
      <c r="W241" s="8"/>
    </row>
    <row r="242" spans="1:23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8"/>
      <c r="U242" s="8"/>
      <c r="V242" s="8"/>
      <c r="W242" s="8"/>
    </row>
    <row r="243" spans="1:23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8"/>
      <c r="U243" s="8"/>
      <c r="V243" s="8"/>
      <c r="W243" s="8"/>
    </row>
    <row r="244" spans="1:23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8"/>
      <c r="U244" s="8"/>
      <c r="V244" s="8"/>
      <c r="W244" s="8"/>
    </row>
    <row r="245" spans="1:23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8"/>
      <c r="U245" s="8"/>
      <c r="V245" s="8"/>
      <c r="W245" s="8"/>
    </row>
    <row r="246" spans="1:23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8"/>
      <c r="U246" s="8"/>
      <c r="V246" s="8"/>
      <c r="W246" s="8"/>
    </row>
    <row r="247" spans="1:23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8"/>
      <c r="U247" s="8"/>
      <c r="V247" s="8"/>
      <c r="W247" s="8"/>
    </row>
    <row r="248" spans="1:23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8"/>
      <c r="U248" s="8"/>
      <c r="V248" s="8"/>
      <c r="W248" s="8"/>
    </row>
    <row r="249" spans="1:23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8"/>
      <c r="U249" s="8"/>
      <c r="V249" s="8"/>
      <c r="W249" s="8"/>
    </row>
    <row r="250" spans="1:23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8"/>
      <c r="U250" s="8"/>
      <c r="V250" s="8"/>
      <c r="W250" s="8"/>
    </row>
    <row r="251" spans="1:23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8"/>
      <c r="U251" s="8"/>
      <c r="V251" s="8"/>
      <c r="W251" s="8"/>
    </row>
    <row r="252" spans="1:23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8"/>
      <c r="U252" s="8"/>
      <c r="V252" s="8"/>
      <c r="W252" s="8"/>
    </row>
    <row r="253" spans="1:23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8"/>
      <c r="U253" s="8"/>
      <c r="V253" s="8"/>
      <c r="W253" s="8"/>
    </row>
    <row r="254" spans="1:23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8"/>
      <c r="U254" s="8"/>
      <c r="V254" s="8"/>
      <c r="W254" s="8"/>
    </row>
    <row r="255" spans="1:23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8"/>
      <c r="U255" s="8"/>
      <c r="V255" s="8"/>
      <c r="W255" s="8"/>
    </row>
    <row r="256" spans="1:23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8"/>
      <c r="U256" s="8"/>
      <c r="V256" s="8"/>
      <c r="W256" s="8"/>
    </row>
    <row r="257" spans="1:23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8"/>
      <c r="U257" s="8"/>
      <c r="V257" s="8"/>
      <c r="W257" s="8"/>
    </row>
    <row r="258" spans="1:23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8"/>
      <c r="U258" s="8"/>
      <c r="V258" s="8"/>
      <c r="W258" s="8"/>
    </row>
    <row r="259" spans="1:23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8"/>
      <c r="U259" s="8"/>
      <c r="V259" s="8"/>
      <c r="W259" s="8"/>
    </row>
    <row r="260" spans="1:23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8"/>
      <c r="U260" s="8"/>
      <c r="V260" s="8"/>
      <c r="W260" s="8"/>
    </row>
    <row r="261" spans="1:23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8"/>
      <c r="U261" s="8"/>
      <c r="V261" s="8"/>
      <c r="W261" s="8"/>
    </row>
    <row r="262" spans="1:23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8"/>
      <c r="U262" s="8"/>
      <c r="V262" s="8"/>
      <c r="W262" s="8"/>
    </row>
    <row r="263" spans="1:23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8"/>
      <c r="U263" s="8"/>
      <c r="V263" s="8"/>
      <c r="W263" s="8"/>
    </row>
    <row r="264" spans="1:23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8"/>
      <c r="U264" s="8"/>
      <c r="V264" s="8"/>
      <c r="W264" s="8"/>
    </row>
    <row r="265" spans="1:23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8"/>
      <c r="U265" s="8"/>
      <c r="V265" s="8"/>
      <c r="W265" s="8"/>
    </row>
    <row r="266" spans="1:23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8"/>
      <c r="U266" s="8"/>
      <c r="V266" s="8"/>
      <c r="W266" s="8"/>
    </row>
    <row r="267" spans="1:23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8"/>
      <c r="U267" s="8"/>
      <c r="V267" s="8"/>
      <c r="W267" s="8"/>
    </row>
    <row r="268" spans="1:23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8"/>
      <c r="U268" s="8"/>
      <c r="V268" s="8"/>
      <c r="W268" s="8"/>
    </row>
    <row r="269" spans="1:23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8"/>
      <c r="U269" s="8"/>
      <c r="V269" s="8"/>
      <c r="W269" s="8"/>
    </row>
    <row r="270" spans="1:23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8"/>
      <c r="U270" s="8"/>
      <c r="V270" s="8"/>
      <c r="W270" s="8"/>
    </row>
    <row r="271" spans="1:23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8"/>
      <c r="U271" s="8"/>
      <c r="V271" s="8"/>
      <c r="W271" s="8"/>
    </row>
    <row r="272" spans="1:23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8"/>
      <c r="U272" s="8"/>
      <c r="V272" s="8"/>
      <c r="W272" s="8"/>
    </row>
    <row r="273" spans="1:23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8"/>
      <c r="U273" s="8"/>
      <c r="V273" s="8"/>
      <c r="W273" s="8"/>
    </row>
    <row r="274" spans="1:23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8"/>
      <c r="U274" s="8"/>
      <c r="V274" s="8"/>
      <c r="W274" s="8"/>
    </row>
    <row r="275" spans="1:23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8"/>
      <c r="U275" s="8"/>
      <c r="V275" s="8"/>
      <c r="W275" s="8"/>
    </row>
    <row r="276" spans="1:23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8"/>
      <c r="U276" s="8"/>
      <c r="V276" s="8"/>
      <c r="W276" s="8"/>
    </row>
    <row r="277" spans="1:23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8"/>
      <c r="U277" s="8"/>
      <c r="V277" s="8"/>
      <c r="W277" s="8"/>
    </row>
    <row r="278" spans="1:23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8"/>
      <c r="U278" s="8"/>
      <c r="V278" s="8"/>
      <c r="W278" s="8"/>
    </row>
    <row r="279" spans="1:23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8"/>
      <c r="U279" s="8"/>
      <c r="V279" s="8"/>
      <c r="W279" s="8"/>
    </row>
    <row r="280" spans="1:23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8"/>
      <c r="U280" s="8"/>
      <c r="V280" s="8"/>
      <c r="W280" s="8"/>
    </row>
    <row r="281" spans="1:23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8"/>
      <c r="U281" s="8"/>
      <c r="V281" s="8"/>
      <c r="W281" s="8"/>
    </row>
    <row r="282" spans="1:23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8"/>
      <c r="U282" s="8"/>
      <c r="V282" s="8"/>
      <c r="W282" s="8"/>
    </row>
    <row r="283" spans="1:23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8"/>
      <c r="U283" s="8"/>
      <c r="V283" s="8"/>
      <c r="W283" s="8"/>
    </row>
    <row r="284" spans="1:23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8"/>
      <c r="U284" s="8"/>
      <c r="V284" s="8"/>
      <c r="W284" s="8"/>
    </row>
    <row r="285" spans="1:23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8"/>
      <c r="U285" s="8"/>
      <c r="V285" s="8"/>
      <c r="W285" s="8"/>
    </row>
    <row r="286" spans="1:23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8"/>
      <c r="U286" s="8"/>
      <c r="V286" s="8"/>
      <c r="W286" s="8"/>
    </row>
    <row r="287" spans="1:23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8"/>
      <c r="U287" s="8"/>
      <c r="V287" s="8"/>
      <c r="W287" s="8"/>
    </row>
    <row r="288" spans="1:23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8"/>
      <c r="U288" s="8"/>
      <c r="V288" s="8"/>
      <c r="W288" s="8"/>
    </row>
    <row r="289" spans="1:23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8"/>
      <c r="U289" s="8"/>
      <c r="V289" s="8"/>
      <c r="W289" s="8"/>
    </row>
    <row r="290" spans="1:23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8"/>
      <c r="U290" s="8"/>
      <c r="V290" s="8"/>
      <c r="W290" s="8"/>
    </row>
    <row r="291" spans="1:23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8"/>
      <c r="U291" s="8"/>
      <c r="V291" s="8"/>
      <c r="W291" s="8"/>
    </row>
    <row r="292" spans="1:23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8"/>
      <c r="U292" s="8"/>
      <c r="V292" s="8"/>
      <c r="W292" s="8"/>
    </row>
    <row r="293" spans="1:23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8"/>
      <c r="U293" s="8"/>
      <c r="V293" s="8"/>
      <c r="W293" s="8"/>
    </row>
    <row r="294" spans="1:23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8"/>
      <c r="U294" s="8"/>
      <c r="V294" s="8"/>
      <c r="W294" s="8"/>
    </row>
    <row r="295" spans="1:23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8"/>
      <c r="U295" s="8"/>
      <c r="V295" s="8"/>
      <c r="W295" s="8"/>
    </row>
    <row r="296" spans="1:23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8"/>
      <c r="U296" s="8"/>
      <c r="V296" s="8"/>
      <c r="W296" s="8"/>
    </row>
    <row r="297" spans="1:23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8"/>
      <c r="U297" s="8"/>
      <c r="V297" s="8"/>
      <c r="W297" s="8"/>
    </row>
    <row r="298" spans="1:23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8"/>
      <c r="U298" s="8"/>
      <c r="V298" s="8"/>
      <c r="W298" s="8"/>
    </row>
    <row r="299" spans="1:23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8"/>
      <c r="U299" s="8"/>
      <c r="V299" s="8"/>
      <c r="W299" s="8"/>
    </row>
    <row r="300" spans="1:23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8"/>
      <c r="U300" s="8"/>
      <c r="V300" s="8"/>
      <c r="W300" s="8"/>
    </row>
    <row r="301" spans="1:23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8"/>
      <c r="U301" s="8"/>
      <c r="V301" s="8"/>
      <c r="W301" s="8"/>
    </row>
    <row r="302" spans="1:23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8"/>
      <c r="U302" s="8"/>
      <c r="V302" s="8"/>
      <c r="W302" s="8"/>
    </row>
    <row r="303" spans="1:23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8"/>
      <c r="U303" s="8"/>
      <c r="V303" s="8"/>
      <c r="W303" s="8"/>
    </row>
    <row r="304" spans="1:23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8"/>
      <c r="U304" s="8"/>
      <c r="V304" s="8"/>
      <c r="W304" s="8"/>
    </row>
    <row r="305" spans="1:23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8"/>
      <c r="U305" s="8"/>
      <c r="V305" s="8"/>
      <c r="W305" s="8"/>
    </row>
    <row r="306" spans="1:23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8"/>
      <c r="U306" s="8"/>
      <c r="V306" s="8"/>
      <c r="W306" s="8"/>
    </row>
    <row r="307" spans="1:23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8"/>
      <c r="U307" s="8"/>
      <c r="V307" s="8"/>
      <c r="W307" s="8"/>
    </row>
    <row r="308" spans="1:23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8"/>
      <c r="U308" s="8"/>
      <c r="V308" s="8"/>
      <c r="W308" s="8"/>
    </row>
    <row r="309" spans="1:23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8"/>
      <c r="U309" s="8"/>
      <c r="V309" s="8"/>
      <c r="W309" s="8"/>
    </row>
    <row r="310" spans="1:23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8"/>
      <c r="U310" s="8"/>
      <c r="V310" s="8"/>
      <c r="W310" s="8"/>
    </row>
    <row r="311" spans="1:23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8"/>
      <c r="U311" s="8"/>
      <c r="V311" s="8"/>
      <c r="W311" s="8"/>
    </row>
    <row r="312" spans="1:23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8"/>
      <c r="U312" s="8"/>
      <c r="V312" s="8"/>
      <c r="W312" s="8"/>
    </row>
    <row r="313" spans="1:23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8"/>
      <c r="U313" s="8"/>
      <c r="V313" s="8"/>
      <c r="W313" s="8"/>
    </row>
    <row r="314" spans="1:23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8"/>
      <c r="U314" s="8"/>
      <c r="V314" s="8"/>
      <c r="W314" s="8"/>
    </row>
    <row r="315" spans="1:23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8"/>
      <c r="U315" s="8"/>
      <c r="V315" s="8"/>
      <c r="W315" s="8"/>
    </row>
    <row r="316" spans="1:23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8"/>
      <c r="U316" s="8"/>
      <c r="V316" s="8"/>
      <c r="W316" s="8"/>
    </row>
    <row r="317" spans="1:23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8"/>
      <c r="U317" s="8"/>
      <c r="V317" s="8"/>
      <c r="W317" s="8"/>
    </row>
    <row r="318" spans="1:23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8"/>
      <c r="U318" s="8"/>
      <c r="V318" s="8"/>
      <c r="W318" s="8"/>
    </row>
    <row r="319" spans="1:23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8"/>
      <c r="U319" s="8"/>
      <c r="V319" s="8"/>
      <c r="W319" s="8"/>
    </row>
    <row r="320" spans="1:23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8"/>
      <c r="U320" s="8"/>
      <c r="V320" s="8"/>
      <c r="W320" s="8"/>
    </row>
    <row r="321" spans="1:23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8"/>
      <c r="U321" s="8"/>
      <c r="V321" s="8"/>
      <c r="W321" s="8"/>
    </row>
    <row r="322" spans="1:23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8"/>
      <c r="U322" s="8"/>
      <c r="V322" s="8"/>
      <c r="W322" s="8"/>
    </row>
    <row r="323" spans="1:23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8"/>
      <c r="U323" s="8"/>
      <c r="V323" s="8"/>
      <c r="W323" s="8"/>
    </row>
    <row r="324" spans="1:23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8"/>
      <c r="U324" s="8"/>
      <c r="V324" s="8"/>
      <c r="W324" s="8"/>
    </row>
    <row r="325" spans="1:23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8"/>
      <c r="U325" s="8"/>
      <c r="V325" s="8"/>
      <c r="W325" s="8"/>
    </row>
    <row r="326" spans="1:23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8"/>
      <c r="U326" s="8"/>
      <c r="V326" s="8"/>
      <c r="W326" s="8"/>
    </row>
    <row r="327" spans="1:23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8"/>
      <c r="U327" s="8"/>
      <c r="V327" s="8"/>
      <c r="W327" s="8"/>
    </row>
    <row r="328" spans="1:23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8"/>
      <c r="U328" s="8"/>
      <c r="V328" s="8"/>
      <c r="W328" s="8"/>
    </row>
    <row r="329" spans="1:23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8"/>
      <c r="U329" s="8"/>
      <c r="V329" s="8"/>
      <c r="W329" s="8"/>
    </row>
    <row r="330" spans="1:23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8"/>
      <c r="U330" s="8"/>
      <c r="V330" s="8"/>
      <c r="W330" s="8"/>
    </row>
    <row r="331" spans="1:23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8"/>
      <c r="U331" s="8"/>
      <c r="V331" s="8"/>
      <c r="W331" s="8"/>
    </row>
    <row r="332" spans="1:23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8"/>
      <c r="U332" s="8"/>
      <c r="V332" s="8"/>
      <c r="W332" s="8"/>
    </row>
    <row r="333" spans="1:23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8"/>
      <c r="U333" s="8"/>
      <c r="V333" s="8"/>
      <c r="W333" s="8"/>
    </row>
    <row r="334" spans="1:23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8"/>
      <c r="U334" s="8"/>
      <c r="V334" s="8"/>
      <c r="W334" s="8"/>
    </row>
    <row r="335" spans="1:23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8"/>
      <c r="U335" s="8"/>
      <c r="V335" s="8"/>
      <c r="W335" s="8"/>
    </row>
    <row r="336" spans="1:23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8"/>
      <c r="U336" s="8"/>
      <c r="V336" s="8"/>
      <c r="W336" s="8"/>
    </row>
    <row r="337" spans="1:23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8"/>
      <c r="U337" s="8"/>
      <c r="V337" s="8"/>
      <c r="W337" s="8"/>
    </row>
    <row r="338" spans="1:23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8"/>
      <c r="U338" s="8"/>
      <c r="V338" s="8"/>
      <c r="W338" s="8"/>
    </row>
    <row r="339" spans="1:23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8"/>
      <c r="U339" s="8"/>
      <c r="V339" s="8"/>
      <c r="W339" s="8"/>
    </row>
    <row r="340" spans="1:23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8"/>
      <c r="U340" s="8"/>
      <c r="V340" s="8"/>
      <c r="W340" s="8"/>
    </row>
    <row r="341" spans="1:23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8"/>
      <c r="U341" s="8"/>
      <c r="V341" s="8"/>
      <c r="W341" s="8"/>
    </row>
    <row r="342" spans="1:23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8"/>
      <c r="U342" s="8"/>
      <c r="V342" s="8"/>
      <c r="W342" s="8"/>
    </row>
    <row r="343" spans="1:23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8"/>
      <c r="U343" s="8"/>
      <c r="V343" s="8"/>
      <c r="W343" s="8"/>
    </row>
    <row r="344" spans="1:23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8"/>
      <c r="U344" s="8"/>
      <c r="V344" s="8"/>
      <c r="W344" s="8"/>
    </row>
    <row r="345" spans="1:23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8"/>
      <c r="U345" s="8"/>
      <c r="V345" s="8"/>
      <c r="W345" s="8"/>
    </row>
    <row r="346" spans="1:23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8"/>
      <c r="U346" s="8"/>
      <c r="V346" s="8"/>
      <c r="W346" s="8"/>
    </row>
    <row r="347" spans="1:23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8"/>
      <c r="U347" s="8"/>
      <c r="V347" s="8"/>
      <c r="W347" s="8"/>
    </row>
    <row r="348" spans="1:23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8"/>
      <c r="U348" s="8"/>
      <c r="V348" s="8"/>
      <c r="W348" s="8"/>
    </row>
    <row r="349" spans="1:23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8"/>
      <c r="U349" s="8"/>
      <c r="V349" s="8"/>
      <c r="W349" s="8"/>
    </row>
    <row r="350" spans="1:23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8"/>
      <c r="U350" s="8"/>
      <c r="V350" s="8"/>
      <c r="W350" s="8"/>
    </row>
    <row r="351" spans="1:23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8"/>
      <c r="U351" s="8"/>
      <c r="V351" s="8"/>
      <c r="W351" s="8"/>
    </row>
    <row r="352" spans="1:23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8"/>
      <c r="U352" s="8"/>
      <c r="V352" s="8"/>
      <c r="W352" s="8"/>
    </row>
    <row r="353" spans="1:23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8"/>
      <c r="U353" s="8"/>
      <c r="V353" s="8"/>
      <c r="W353" s="8"/>
    </row>
    <row r="354" spans="1:23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8"/>
      <c r="U354" s="8"/>
      <c r="V354" s="8"/>
      <c r="W354" s="8"/>
    </row>
    <row r="355" spans="1:23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8"/>
      <c r="U355" s="8"/>
      <c r="V355" s="8"/>
      <c r="W355" s="8"/>
    </row>
    <row r="356" spans="1:23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8"/>
      <c r="U356" s="8"/>
      <c r="V356" s="8"/>
      <c r="W356" s="8"/>
    </row>
    <row r="357" spans="1:23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8"/>
      <c r="U357" s="8"/>
      <c r="V357" s="8"/>
      <c r="W357" s="8"/>
    </row>
    <row r="358" spans="1:23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8"/>
      <c r="U358" s="8"/>
      <c r="V358" s="8"/>
      <c r="W358" s="8"/>
    </row>
    <row r="359" spans="1:23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8"/>
      <c r="U359" s="8"/>
      <c r="V359" s="8"/>
      <c r="W359" s="8"/>
    </row>
    <row r="360" spans="1:23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8"/>
      <c r="U360" s="8"/>
      <c r="V360" s="8"/>
      <c r="W360" s="8"/>
    </row>
    <row r="361" spans="1:23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8"/>
      <c r="U361" s="8"/>
      <c r="V361" s="8"/>
      <c r="W361" s="8"/>
    </row>
    <row r="362" spans="1:23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8"/>
      <c r="U362" s="8"/>
      <c r="V362" s="8"/>
      <c r="W362" s="8"/>
    </row>
    <row r="363" spans="1:23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8"/>
      <c r="U363" s="8"/>
      <c r="V363" s="8"/>
      <c r="W363" s="8"/>
    </row>
    <row r="364" spans="1:23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8"/>
      <c r="U364" s="8"/>
      <c r="V364" s="8"/>
      <c r="W364" s="8"/>
    </row>
    <row r="365" spans="1:23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8"/>
      <c r="U365" s="8"/>
      <c r="V365" s="8"/>
      <c r="W365" s="8"/>
    </row>
    <row r="366" spans="1:23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8"/>
      <c r="U366" s="8"/>
      <c r="V366" s="8"/>
      <c r="W366" s="8"/>
    </row>
    <row r="367" spans="1:23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8"/>
      <c r="U367" s="8"/>
      <c r="V367" s="8"/>
      <c r="W367" s="8"/>
    </row>
    <row r="368" spans="1:23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8"/>
      <c r="U368" s="8"/>
      <c r="V368" s="8"/>
      <c r="W368" s="8"/>
    </row>
    <row r="369" spans="1:23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8"/>
      <c r="U369" s="8"/>
      <c r="V369" s="8"/>
      <c r="W369" s="8"/>
    </row>
    <row r="370" spans="1:23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8"/>
      <c r="U370" s="8"/>
      <c r="V370" s="8"/>
      <c r="W370" s="8"/>
    </row>
    <row r="371" spans="1:23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8"/>
      <c r="U371" s="8"/>
      <c r="V371" s="8"/>
      <c r="W371" s="8"/>
    </row>
    <row r="372" spans="1:23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8"/>
      <c r="U372" s="8"/>
      <c r="V372" s="8"/>
      <c r="W372" s="8"/>
    </row>
    <row r="373" spans="1:23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8"/>
      <c r="U373" s="8"/>
      <c r="V373" s="8"/>
      <c r="W373" s="8"/>
    </row>
    <row r="374" spans="1:23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8"/>
      <c r="U374" s="8"/>
      <c r="V374" s="8"/>
      <c r="W374" s="8"/>
    </row>
    <row r="375" spans="1:23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8"/>
      <c r="U375" s="8"/>
      <c r="V375" s="8"/>
      <c r="W375" s="8"/>
    </row>
    <row r="376" spans="1:23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8"/>
      <c r="U376" s="8"/>
      <c r="V376" s="8"/>
      <c r="W376" s="8"/>
    </row>
    <row r="377" spans="1:23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8"/>
      <c r="U377" s="8"/>
      <c r="V377" s="8"/>
      <c r="W377" s="8"/>
    </row>
    <row r="378" spans="1:23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8"/>
      <c r="U378" s="8"/>
      <c r="V378" s="8"/>
      <c r="W378" s="8"/>
    </row>
    <row r="379" spans="1:23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8"/>
      <c r="U379" s="8"/>
      <c r="V379" s="8"/>
      <c r="W379" s="8"/>
    </row>
    <row r="380" spans="1:23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8"/>
      <c r="U380" s="8"/>
      <c r="V380" s="8"/>
      <c r="W380" s="8"/>
    </row>
    <row r="381" spans="1:23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8"/>
      <c r="U381" s="8"/>
      <c r="V381" s="8"/>
      <c r="W381" s="8"/>
    </row>
    <row r="382" spans="1:23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8"/>
      <c r="U382" s="8"/>
      <c r="V382" s="8"/>
      <c r="W382" s="8"/>
    </row>
    <row r="383" spans="1:23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8"/>
      <c r="U383" s="8"/>
      <c r="V383" s="8"/>
      <c r="W383" s="8"/>
    </row>
    <row r="384" spans="1:23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8"/>
      <c r="U384" s="8"/>
      <c r="V384" s="8"/>
      <c r="W384" s="8"/>
    </row>
    <row r="385" spans="1:23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8"/>
      <c r="U385" s="8"/>
      <c r="V385" s="8"/>
      <c r="W385" s="8"/>
    </row>
    <row r="386" spans="1:23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8"/>
      <c r="U386" s="8"/>
      <c r="V386" s="8"/>
      <c r="W386" s="8"/>
    </row>
    <row r="387" spans="1:23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8"/>
      <c r="U387" s="8"/>
      <c r="V387" s="8"/>
      <c r="W387" s="8"/>
    </row>
    <row r="388" spans="1:23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8"/>
      <c r="U388" s="8"/>
      <c r="V388" s="8"/>
      <c r="W388" s="8"/>
    </row>
    <row r="389" spans="1:23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8"/>
      <c r="U389" s="8"/>
      <c r="V389" s="8"/>
      <c r="W389" s="8"/>
    </row>
    <row r="390" spans="1:23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8"/>
      <c r="U390" s="8"/>
      <c r="V390" s="8"/>
      <c r="W390" s="8"/>
    </row>
    <row r="391" spans="1:23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8"/>
      <c r="U391" s="8"/>
      <c r="V391" s="8"/>
      <c r="W391" s="8"/>
    </row>
    <row r="392" spans="1:23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8"/>
      <c r="U392" s="8"/>
      <c r="V392" s="8"/>
      <c r="W392" s="8"/>
    </row>
    <row r="393" spans="1:23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8"/>
      <c r="U393" s="8"/>
      <c r="V393" s="8"/>
      <c r="W393" s="8"/>
    </row>
    <row r="394" spans="1:23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8"/>
      <c r="U394" s="8"/>
      <c r="V394" s="8"/>
      <c r="W394" s="8"/>
    </row>
    <row r="395" spans="1:23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8"/>
      <c r="U395" s="8"/>
      <c r="V395" s="8"/>
      <c r="W395" s="8"/>
    </row>
    <row r="396" spans="1:23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8"/>
      <c r="U396" s="8"/>
      <c r="V396" s="8"/>
      <c r="W396" s="8"/>
    </row>
    <row r="397" spans="1:23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8"/>
      <c r="U397" s="8"/>
      <c r="V397" s="8"/>
      <c r="W397" s="8"/>
    </row>
    <row r="398" spans="1:23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8"/>
      <c r="U398" s="8"/>
      <c r="V398" s="8"/>
      <c r="W398" s="8"/>
    </row>
    <row r="399" spans="1:23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8"/>
      <c r="U399" s="8"/>
      <c r="V399" s="8"/>
      <c r="W399" s="8"/>
    </row>
    <row r="400" spans="1:23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8"/>
      <c r="U400" s="8"/>
      <c r="V400" s="8"/>
      <c r="W400" s="8"/>
    </row>
    <row r="401" spans="1:23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8"/>
      <c r="U401" s="8"/>
      <c r="V401" s="8"/>
      <c r="W401" s="8"/>
    </row>
    <row r="402" spans="1:23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8"/>
      <c r="U402" s="8"/>
      <c r="V402" s="8"/>
      <c r="W402" s="8"/>
    </row>
    <row r="403" spans="1:23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8"/>
      <c r="U403" s="8"/>
      <c r="V403" s="8"/>
      <c r="W403" s="8"/>
    </row>
    <row r="404" spans="1:23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8"/>
      <c r="U404" s="8"/>
      <c r="V404" s="8"/>
      <c r="W404" s="8"/>
    </row>
    <row r="405" spans="1:23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8"/>
      <c r="U405" s="8"/>
      <c r="V405" s="8"/>
      <c r="W405" s="8"/>
    </row>
    <row r="406" spans="1:23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8"/>
      <c r="U406" s="8"/>
      <c r="V406" s="8"/>
      <c r="W406" s="8"/>
    </row>
    <row r="407" spans="1:23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8"/>
      <c r="U407" s="8"/>
      <c r="V407" s="8"/>
      <c r="W407" s="8"/>
    </row>
    <row r="408" spans="1:23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8"/>
      <c r="U408" s="8"/>
      <c r="V408" s="8"/>
      <c r="W408" s="8"/>
    </row>
    <row r="409" spans="1:23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8"/>
      <c r="U409" s="8"/>
      <c r="V409" s="8"/>
      <c r="W409" s="8"/>
    </row>
    <row r="410" spans="1:23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8"/>
      <c r="U410" s="8"/>
      <c r="V410" s="8"/>
      <c r="W410" s="8"/>
    </row>
    <row r="411" spans="1:23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8"/>
      <c r="U411" s="8"/>
      <c r="V411" s="8"/>
      <c r="W411" s="8"/>
    </row>
    <row r="412" spans="1:23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8"/>
      <c r="U412" s="8"/>
      <c r="V412" s="8"/>
      <c r="W412" s="8"/>
    </row>
    <row r="413" spans="1:23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8"/>
      <c r="U413" s="8"/>
      <c r="V413" s="8"/>
      <c r="W413" s="8"/>
    </row>
    <row r="414" spans="1:23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8"/>
      <c r="U414" s="8"/>
      <c r="V414" s="8"/>
      <c r="W414" s="8"/>
    </row>
    <row r="415" spans="1:23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8"/>
      <c r="U415" s="8"/>
      <c r="V415" s="8"/>
      <c r="W415" s="8"/>
    </row>
    <row r="416" spans="1:23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8"/>
      <c r="U416" s="8"/>
      <c r="V416" s="8"/>
      <c r="W416" s="8"/>
    </row>
    <row r="417" spans="1:23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8"/>
      <c r="U417" s="8"/>
      <c r="V417" s="8"/>
      <c r="W417" s="8"/>
    </row>
    <row r="418" spans="1:23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8"/>
      <c r="U418" s="8"/>
      <c r="V418" s="8"/>
      <c r="W418" s="8"/>
    </row>
    <row r="419" spans="1:23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8"/>
      <c r="U419" s="8"/>
      <c r="V419" s="8"/>
      <c r="W419" s="8"/>
    </row>
    <row r="420" spans="1:23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8"/>
      <c r="U420" s="8"/>
      <c r="V420" s="8"/>
      <c r="W420" s="8"/>
    </row>
    <row r="421" spans="1:23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8"/>
      <c r="U421" s="8"/>
      <c r="V421" s="8"/>
      <c r="W421" s="8"/>
    </row>
    <row r="422" spans="1:23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8"/>
      <c r="U422" s="8"/>
      <c r="V422" s="8"/>
      <c r="W422" s="8"/>
    </row>
    <row r="423" spans="1:23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8"/>
      <c r="U423" s="8"/>
      <c r="V423" s="8"/>
      <c r="W423" s="8"/>
    </row>
    <row r="424" spans="1:23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8"/>
      <c r="U424" s="8"/>
      <c r="V424" s="8"/>
      <c r="W424" s="8"/>
    </row>
    <row r="425" spans="1:23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8"/>
      <c r="U425" s="8"/>
      <c r="V425" s="8"/>
      <c r="W425" s="8"/>
    </row>
    <row r="426" spans="1:23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8"/>
      <c r="U426" s="8"/>
      <c r="V426" s="8"/>
      <c r="W426" s="8"/>
    </row>
    <row r="427" spans="1:23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8"/>
      <c r="U427" s="8"/>
      <c r="V427" s="8"/>
      <c r="W427" s="8"/>
    </row>
    <row r="428" spans="1:23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8"/>
      <c r="U428" s="8"/>
      <c r="V428" s="8"/>
      <c r="W428" s="8"/>
    </row>
    <row r="429" spans="1:23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8"/>
      <c r="U429" s="8"/>
      <c r="V429" s="8"/>
      <c r="W429" s="8"/>
    </row>
    <row r="430" spans="1:23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8"/>
      <c r="U430" s="8"/>
      <c r="V430" s="8"/>
      <c r="W430" s="8"/>
    </row>
    <row r="431" spans="1:23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8"/>
      <c r="U431" s="8"/>
      <c r="V431" s="8"/>
      <c r="W431" s="8"/>
    </row>
    <row r="432" spans="1:23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8"/>
      <c r="U432" s="8"/>
      <c r="V432" s="8"/>
      <c r="W432" s="8"/>
    </row>
    <row r="433" spans="1:23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8"/>
      <c r="U433" s="8"/>
      <c r="V433" s="8"/>
      <c r="W433" s="8"/>
    </row>
    <row r="434" spans="1:23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8"/>
      <c r="U434" s="8"/>
      <c r="V434" s="8"/>
      <c r="W434" s="8"/>
    </row>
    <row r="435" spans="1:23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8"/>
      <c r="U435" s="8"/>
      <c r="V435" s="8"/>
      <c r="W435" s="8"/>
    </row>
    <row r="436" spans="1:23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8"/>
      <c r="U436" s="8"/>
      <c r="V436" s="8"/>
      <c r="W436" s="8"/>
    </row>
    <row r="437" spans="1:23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8"/>
      <c r="U437" s="8"/>
      <c r="V437" s="8"/>
      <c r="W437" s="8"/>
    </row>
    <row r="438" spans="1:23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8"/>
      <c r="U438" s="8"/>
      <c r="V438" s="8"/>
      <c r="W438" s="8"/>
    </row>
    <row r="439" spans="1:23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8"/>
      <c r="U439" s="8"/>
      <c r="V439" s="8"/>
      <c r="W439" s="8"/>
    </row>
    <row r="440" spans="1:23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8"/>
      <c r="U440" s="8"/>
      <c r="V440" s="8"/>
      <c r="W440" s="8"/>
    </row>
    <row r="441" spans="1:23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8"/>
      <c r="U441" s="8"/>
      <c r="V441" s="8"/>
      <c r="W441" s="8"/>
    </row>
    <row r="442" spans="1:23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8"/>
      <c r="U442" s="8"/>
      <c r="V442" s="8"/>
      <c r="W442" s="8"/>
    </row>
    <row r="443" spans="1:23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8"/>
      <c r="U443" s="8"/>
      <c r="V443" s="8"/>
      <c r="W443" s="8"/>
    </row>
    <row r="444" spans="1:23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8"/>
      <c r="U444" s="8"/>
      <c r="V444" s="8"/>
      <c r="W444" s="8"/>
    </row>
    <row r="445" spans="1:23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8"/>
      <c r="U445" s="8"/>
      <c r="V445" s="8"/>
      <c r="W445" s="8"/>
    </row>
    <row r="446" spans="1:23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8"/>
      <c r="U446" s="8"/>
      <c r="V446" s="8"/>
      <c r="W446" s="8"/>
    </row>
    <row r="447" spans="1:23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8"/>
      <c r="U447" s="8"/>
      <c r="V447" s="8"/>
      <c r="W447" s="8"/>
    </row>
    <row r="448" spans="1:23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8"/>
      <c r="U448" s="8"/>
      <c r="V448" s="8"/>
      <c r="W448" s="8"/>
    </row>
    <row r="449" spans="1:23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8"/>
      <c r="U449" s="8"/>
      <c r="V449" s="8"/>
      <c r="W449" s="8"/>
    </row>
    <row r="450" spans="1:23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8"/>
      <c r="U450" s="8"/>
      <c r="V450" s="8"/>
      <c r="W450" s="8"/>
    </row>
    <row r="451" spans="1:23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8"/>
      <c r="U451" s="8"/>
      <c r="V451" s="8"/>
      <c r="W451" s="8"/>
    </row>
    <row r="452" spans="1:23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8"/>
      <c r="U452" s="8"/>
      <c r="V452" s="8"/>
      <c r="W452" s="8"/>
    </row>
    <row r="453" spans="1:23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8"/>
      <c r="U453" s="8"/>
      <c r="V453" s="8"/>
      <c r="W453" s="8"/>
    </row>
    <row r="454" spans="1:23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8"/>
      <c r="U454" s="8"/>
      <c r="V454" s="8"/>
      <c r="W454" s="8"/>
    </row>
    <row r="455" spans="1:23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8"/>
      <c r="U455" s="8"/>
      <c r="V455" s="8"/>
      <c r="W455" s="8"/>
    </row>
    <row r="456" spans="1:23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8"/>
      <c r="U456" s="8"/>
      <c r="V456" s="8"/>
      <c r="W456" s="8"/>
    </row>
    <row r="457" spans="1:23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8"/>
      <c r="U457" s="8"/>
      <c r="V457" s="8"/>
      <c r="W457" s="8"/>
    </row>
    <row r="458" spans="1:23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8"/>
      <c r="U458" s="8"/>
      <c r="V458" s="8"/>
      <c r="W458" s="8"/>
    </row>
    <row r="459" spans="1:23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8"/>
      <c r="U459" s="8"/>
      <c r="V459" s="8"/>
      <c r="W459" s="8"/>
    </row>
    <row r="460" spans="1:23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8"/>
      <c r="U460" s="8"/>
      <c r="V460" s="8"/>
      <c r="W460" s="8"/>
    </row>
    <row r="461" spans="1:23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8"/>
      <c r="U461" s="8"/>
      <c r="V461" s="8"/>
      <c r="W461" s="8"/>
    </row>
    <row r="462" spans="1:23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8"/>
      <c r="U462" s="8"/>
      <c r="V462" s="8"/>
      <c r="W462" s="8"/>
    </row>
    <row r="463" spans="1:23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8"/>
      <c r="U463" s="8"/>
      <c r="V463" s="8"/>
      <c r="W463" s="8"/>
    </row>
    <row r="464" spans="1:23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8"/>
      <c r="U464" s="8"/>
      <c r="V464" s="8"/>
      <c r="W464" s="8"/>
    </row>
    <row r="465" spans="1:23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8"/>
      <c r="U465" s="8"/>
      <c r="V465" s="8"/>
      <c r="W465" s="8"/>
    </row>
    <row r="466" spans="1:23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8"/>
      <c r="U466" s="8"/>
      <c r="V466" s="8"/>
      <c r="W466" s="8"/>
    </row>
    <row r="467" spans="1:23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8"/>
      <c r="U467" s="8"/>
      <c r="V467" s="8"/>
      <c r="W467" s="8"/>
    </row>
    <row r="468" spans="1:23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8"/>
      <c r="U468" s="8"/>
      <c r="V468" s="8"/>
      <c r="W468" s="8"/>
    </row>
    <row r="469" spans="1:23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8"/>
      <c r="U469" s="8"/>
      <c r="V469" s="8"/>
      <c r="W469" s="8"/>
    </row>
    <row r="470" spans="1:23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8"/>
      <c r="U470" s="8"/>
      <c r="V470" s="8"/>
      <c r="W470" s="8"/>
    </row>
    <row r="471" spans="1:23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8"/>
      <c r="U471" s="8"/>
      <c r="V471" s="8"/>
      <c r="W471" s="8"/>
    </row>
    <row r="472" spans="1:23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8"/>
      <c r="U472" s="8"/>
      <c r="V472" s="8"/>
      <c r="W472" s="8"/>
    </row>
    <row r="473" spans="1:23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8"/>
      <c r="U473" s="8"/>
      <c r="V473" s="8"/>
      <c r="W473" s="8"/>
    </row>
    <row r="474" spans="1:23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8"/>
      <c r="U474" s="8"/>
      <c r="V474" s="8"/>
      <c r="W474" s="8"/>
    </row>
    <row r="475" spans="1:23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8"/>
      <c r="U475" s="8"/>
      <c r="V475" s="8"/>
      <c r="W475" s="8"/>
    </row>
    <row r="476" spans="1:23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8"/>
      <c r="U476" s="8"/>
      <c r="V476" s="8"/>
      <c r="W476" s="8"/>
    </row>
    <row r="477" spans="1:23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8"/>
      <c r="U477" s="8"/>
      <c r="V477" s="8"/>
      <c r="W477" s="8"/>
    </row>
    <row r="478" spans="1:23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8"/>
      <c r="U478" s="8"/>
      <c r="V478" s="8"/>
      <c r="W478" s="8"/>
    </row>
    <row r="479" spans="1:23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8"/>
      <c r="U479" s="8"/>
      <c r="V479" s="8"/>
      <c r="W479" s="8"/>
    </row>
    <row r="480" spans="1:23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8"/>
      <c r="U480" s="8"/>
      <c r="V480" s="8"/>
      <c r="W480" s="8"/>
    </row>
    <row r="481" spans="1:23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8"/>
      <c r="U481" s="8"/>
      <c r="V481" s="8"/>
      <c r="W481" s="8"/>
    </row>
    <row r="482" spans="1:23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8"/>
      <c r="U482" s="8"/>
      <c r="V482" s="8"/>
      <c r="W482" s="8"/>
    </row>
    <row r="483" spans="1:23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8"/>
      <c r="U483" s="8"/>
      <c r="V483" s="8"/>
      <c r="W483" s="8"/>
    </row>
    <row r="484" spans="1:23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8"/>
      <c r="U484" s="8"/>
      <c r="V484" s="8"/>
      <c r="W484" s="8"/>
    </row>
    <row r="485" spans="1:23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8"/>
      <c r="U485" s="8"/>
      <c r="V485" s="8"/>
      <c r="W485" s="8"/>
    </row>
    <row r="486" spans="1:23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8"/>
      <c r="U486" s="8"/>
      <c r="V486" s="8"/>
      <c r="W486" s="8"/>
    </row>
    <row r="487" spans="1:23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8"/>
      <c r="U487" s="8"/>
      <c r="V487" s="8"/>
      <c r="W487" s="8"/>
    </row>
    <row r="488" spans="1:23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8"/>
      <c r="U488" s="8"/>
      <c r="V488" s="8"/>
      <c r="W488" s="8"/>
    </row>
    <row r="489" spans="1:23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8"/>
      <c r="U489" s="8"/>
      <c r="V489" s="8"/>
      <c r="W489" s="8"/>
    </row>
    <row r="490" spans="1:23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8"/>
      <c r="U490" s="8"/>
      <c r="V490" s="8"/>
      <c r="W490" s="8"/>
    </row>
    <row r="491" spans="1:23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8"/>
      <c r="U491" s="8"/>
      <c r="V491" s="8"/>
      <c r="W491" s="8"/>
    </row>
    <row r="492" spans="1:23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8"/>
      <c r="U492" s="8"/>
      <c r="V492" s="8"/>
      <c r="W492" s="8"/>
    </row>
    <row r="493" spans="1:23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8"/>
      <c r="U493" s="8"/>
      <c r="V493" s="8"/>
      <c r="W493" s="8"/>
    </row>
    <row r="494" spans="1:23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8"/>
      <c r="U494" s="8"/>
      <c r="V494" s="8"/>
      <c r="W494" s="8"/>
    </row>
    <row r="495" spans="1:23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8"/>
      <c r="U495" s="8"/>
      <c r="V495" s="8"/>
      <c r="W495" s="8"/>
    </row>
    <row r="496" spans="1:23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8"/>
      <c r="U496" s="8"/>
      <c r="V496" s="8"/>
      <c r="W496" s="8"/>
    </row>
    <row r="497" spans="1:23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8"/>
      <c r="U497" s="8"/>
      <c r="V497" s="8"/>
      <c r="W497" s="8"/>
    </row>
    <row r="498" spans="1:23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8"/>
      <c r="U498" s="8"/>
      <c r="V498" s="8"/>
      <c r="W498" s="8"/>
    </row>
    <row r="499" spans="1:23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8"/>
      <c r="U499" s="8"/>
      <c r="V499" s="8"/>
      <c r="W499" s="8"/>
    </row>
    <row r="500" spans="1:23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8"/>
      <c r="U500" s="8"/>
      <c r="V500" s="8"/>
      <c r="W500" s="8"/>
    </row>
    <row r="501" spans="1:23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8"/>
      <c r="U501" s="8"/>
      <c r="V501" s="8"/>
      <c r="W501" s="8"/>
    </row>
    <row r="502" spans="1:23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8"/>
      <c r="U502" s="8"/>
      <c r="V502" s="8"/>
      <c r="W502" s="8"/>
    </row>
    <row r="503" spans="1:23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8"/>
      <c r="U503" s="8"/>
      <c r="V503" s="8"/>
      <c r="W503" s="8"/>
    </row>
    <row r="504" spans="1:23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8"/>
      <c r="U504" s="8"/>
      <c r="V504" s="8"/>
      <c r="W504" s="8"/>
    </row>
    <row r="505" spans="1:23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8"/>
      <c r="U505" s="8"/>
      <c r="V505" s="8"/>
      <c r="W505" s="8"/>
    </row>
    <row r="506" spans="1:23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8"/>
      <c r="U506" s="8"/>
      <c r="V506" s="8"/>
      <c r="W506" s="8"/>
    </row>
    <row r="507" spans="1:23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8"/>
      <c r="U507" s="8"/>
      <c r="V507" s="8"/>
      <c r="W507" s="8"/>
    </row>
    <row r="508" spans="1:23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8"/>
      <c r="U508" s="8"/>
      <c r="V508" s="8"/>
      <c r="W508" s="8"/>
    </row>
    <row r="509" spans="1:23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8"/>
      <c r="U509" s="8"/>
      <c r="V509" s="8"/>
      <c r="W509" s="8"/>
    </row>
    <row r="510" spans="1:23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8"/>
      <c r="U510" s="8"/>
      <c r="V510" s="8"/>
      <c r="W510" s="8"/>
    </row>
    <row r="511" spans="1:23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8"/>
      <c r="U511" s="8"/>
      <c r="V511" s="8"/>
      <c r="W511" s="8"/>
    </row>
    <row r="512" spans="1:23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8"/>
      <c r="U512" s="8"/>
      <c r="V512" s="8"/>
      <c r="W512" s="8"/>
    </row>
    <row r="513" spans="1:23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8"/>
      <c r="U513" s="8"/>
      <c r="V513" s="8"/>
      <c r="W513" s="8"/>
    </row>
    <row r="514" spans="1:23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8"/>
      <c r="U514" s="8"/>
      <c r="V514" s="8"/>
      <c r="W514" s="8"/>
    </row>
    <row r="515" spans="1:23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8"/>
      <c r="U515" s="8"/>
      <c r="V515" s="8"/>
      <c r="W515" s="8"/>
    </row>
    <row r="516" spans="1:23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8"/>
      <c r="U516" s="8"/>
      <c r="V516" s="8"/>
      <c r="W516" s="8"/>
    </row>
    <row r="517" spans="1:23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8"/>
      <c r="U517" s="8"/>
      <c r="V517" s="8"/>
      <c r="W517" s="8"/>
    </row>
    <row r="518" spans="1:23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8"/>
      <c r="U518" s="8"/>
      <c r="V518" s="8"/>
      <c r="W518" s="8"/>
    </row>
    <row r="519" spans="1:23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8"/>
      <c r="U519" s="8"/>
      <c r="V519" s="8"/>
      <c r="W519" s="8"/>
    </row>
    <row r="520" spans="1:23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8"/>
      <c r="U520" s="8"/>
      <c r="V520" s="8"/>
      <c r="W520" s="8"/>
    </row>
    <row r="521" spans="1:23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8"/>
      <c r="U521" s="8"/>
      <c r="V521" s="8"/>
      <c r="W521" s="8"/>
    </row>
    <row r="522" spans="1:23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8"/>
      <c r="U522" s="8"/>
      <c r="V522" s="8"/>
      <c r="W522" s="8"/>
    </row>
    <row r="523" spans="1:23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8"/>
      <c r="U523" s="8"/>
      <c r="V523" s="8"/>
      <c r="W523" s="8"/>
    </row>
    <row r="524" spans="1:23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8"/>
      <c r="U524" s="8"/>
      <c r="V524" s="8"/>
      <c r="W524" s="8"/>
    </row>
    <row r="525" spans="1:23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8"/>
      <c r="U525" s="8"/>
      <c r="V525" s="8"/>
      <c r="W525" s="8"/>
    </row>
    <row r="526" spans="1:23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8"/>
      <c r="U526" s="8"/>
      <c r="V526" s="8"/>
      <c r="W526" s="8"/>
    </row>
    <row r="527" spans="1:23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8"/>
      <c r="U527" s="8"/>
      <c r="V527" s="8"/>
      <c r="W527" s="8"/>
    </row>
    <row r="528" spans="1:23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8"/>
      <c r="U528" s="8"/>
      <c r="V528" s="8"/>
      <c r="W528" s="8"/>
    </row>
    <row r="529" spans="1:23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8"/>
      <c r="U529" s="8"/>
      <c r="V529" s="8"/>
      <c r="W529" s="8"/>
    </row>
    <row r="530" spans="1:23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8"/>
      <c r="U530" s="8"/>
      <c r="V530" s="8"/>
      <c r="W530" s="8"/>
    </row>
    <row r="531" spans="1:23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8"/>
      <c r="U531" s="8"/>
      <c r="V531" s="8"/>
      <c r="W531" s="8"/>
    </row>
    <row r="532" spans="1:23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8"/>
      <c r="U532" s="8"/>
      <c r="V532" s="8"/>
      <c r="W532" s="8"/>
    </row>
    <row r="533" spans="1:23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8"/>
      <c r="U533" s="8"/>
      <c r="V533" s="8"/>
      <c r="W533" s="8"/>
    </row>
    <row r="534" spans="1:23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8"/>
      <c r="U534" s="8"/>
      <c r="V534" s="8"/>
      <c r="W534" s="8"/>
    </row>
    <row r="535" spans="1:23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8"/>
      <c r="U535" s="8"/>
      <c r="V535" s="8"/>
      <c r="W535" s="8"/>
    </row>
    <row r="536" spans="1:23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8"/>
      <c r="U536" s="8"/>
      <c r="V536" s="8"/>
      <c r="W536" s="8"/>
    </row>
    <row r="537" spans="1:23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8"/>
      <c r="U537" s="8"/>
      <c r="V537" s="8"/>
      <c r="W537" s="8"/>
    </row>
    <row r="538" spans="1:23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8"/>
      <c r="U538" s="8"/>
      <c r="V538" s="8"/>
      <c r="W538" s="8"/>
    </row>
    <row r="539" spans="1:23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8"/>
      <c r="U539" s="8"/>
      <c r="V539" s="8"/>
      <c r="W539" s="8"/>
    </row>
    <row r="540" spans="1:23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8"/>
      <c r="U540" s="8"/>
      <c r="V540" s="8"/>
      <c r="W540" s="8"/>
    </row>
    <row r="541" spans="1:23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8"/>
      <c r="U541" s="8"/>
      <c r="V541" s="8"/>
      <c r="W541" s="8"/>
    </row>
    <row r="542" spans="1:23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8"/>
      <c r="U542" s="8"/>
      <c r="V542" s="8"/>
      <c r="W542" s="8"/>
    </row>
    <row r="543" spans="1:23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8"/>
      <c r="U543" s="8"/>
      <c r="V543" s="8"/>
      <c r="W543" s="8"/>
    </row>
    <row r="544" spans="1:23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8"/>
      <c r="U544" s="8"/>
      <c r="V544" s="8"/>
      <c r="W544" s="8"/>
    </row>
    <row r="545" spans="1:23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8"/>
      <c r="U545" s="8"/>
      <c r="V545" s="8"/>
      <c r="W545" s="8"/>
    </row>
    <row r="546" spans="1:23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8"/>
      <c r="U546" s="8"/>
      <c r="V546" s="8"/>
      <c r="W546" s="8"/>
    </row>
    <row r="547" spans="1:23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8"/>
      <c r="U547" s="8"/>
      <c r="V547" s="8"/>
      <c r="W547" s="8"/>
    </row>
    <row r="548" spans="1:23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8"/>
      <c r="U548" s="8"/>
      <c r="V548" s="8"/>
      <c r="W548" s="8"/>
    </row>
    <row r="549" spans="1:23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8"/>
      <c r="U549" s="8"/>
      <c r="V549" s="8"/>
      <c r="W549" s="8"/>
    </row>
    <row r="550" spans="1:23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8"/>
      <c r="U550" s="8"/>
      <c r="V550" s="8"/>
      <c r="W550" s="8"/>
    </row>
    <row r="551" spans="1:23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8"/>
      <c r="U551" s="8"/>
      <c r="V551" s="8"/>
      <c r="W551" s="8"/>
    </row>
    <row r="552" spans="1:23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8"/>
      <c r="U552" s="8"/>
      <c r="V552" s="8"/>
      <c r="W552" s="8"/>
    </row>
    <row r="553" spans="1:23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8"/>
      <c r="U553" s="8"/>
      <c r="V553" s="8"/>
      <c r="W553" s="8"/>
    </row>
    <row r="554" spans="1:23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8"/>
      <c r="U554" s="8"/>
      <c r="V554" s="8"/>
      <c r="W554" s="8"/>
    </row>
    <row r="555" spans="1:23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8"/>
      <c r="U555" s="8"/>
      <c r="V555" s="8"/>
      <c r="W555" s="8"/>
    </row>
    <row r="556" spans="1:23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8"/>
      <c r="U556" s="8"/>
      <c r="V556" s="8"/>
      <c r="W556" s="8"/>
    </row>
    <row r="557" spans="1:23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8"/>
      <c r="U557" s="8"/>
      <c r="V557" s="8"/>
      <c r="W557" s="8"/>
    </row>
    <row r="558" spans="1:23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8"/>
      <c r="U558" s="8"/>
      <c r="V558" s="8"/>
      <c r="W558" s="8"/>
    </row>
    <row r="559" spans="1:23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8"/>
      <c r="U559" s="8"/>
      <c r="V559" s="8"/>
      <c r="W559" s="8"/>
    </row>
    <row r="560" spans="1:23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8"/>
      <c r="U560" s="8"/>
      <c r="V560" s="8"/>
      <c r="W560" s="8"/>
    </row>
    <row r="561" spans="1:23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8"/>
      <c r="U561" s="8"/>
      <c r="V561" s="8"/>
      <c r="W561" s="8"/>
    </row>
    <row r="562" spans="1:23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8"/>
      <c r="U562" s="8"/>
      <c r="V562" s="8"/>
      <c r="W562" s="8"/>
    </row>
    <row r="563" spans="1:23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8"/>
      <c r="U563" s="8"/>
      <c r="V563" s="8"/>
      <c r="W563" s="8"/>
    </row>
    <row r="564" spans="1:23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8"/>
      <c r="U564" s="8"/>
      <c r="V564" s="8"/>
      <c r="W564" s="8"/>
    </row>
    <row r="565" spans="1:23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8"/>
      <c r="U565" s="8"/>
      <c r="V565" s="8"/>
      <c r="W565" s="8"/>
    </row>
    <row r="566" spans="1:23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8"/>
      <c r="U566" s="8"/>
      <c r="V566" s="8"/>
      <c r="W566" s="8"/>
    </row>
    <row r="567" spans="1:23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8"/>
      <c r="U567" s="8"/>
      <c r="V567" s="8"/>
      <c r="W567" s="8"/>
    </row>
    <row r="568" spans="1:23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8"/>
      <c r="U568" s="8"/>
      <c r="V568" s="8"/>
      <c r="W568" s="8"/>
    </row>
    <row r="569" spans="1:23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8"/>
      <c r="U569" s="8"/>
      <c r="V569" s="8"/>
      <c r="W569" s="8"/>
    </row>
    <row r="570" spans="1:23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8"/>
      <c r="U570" s="8"/>
      <c r="V570" s="8"/>
      <c r="W570" s="8"/>
    </row>
    <row r="571" spans="1:23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8"/>
      <c r="U571" s="8"/>
      <c r="V571" s="8"/>
      <c r="W571" s="8"/>
    </row>
    <row r="572" spans="1:23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8"/>
      <c r="U572" s="8"/>
      <c r="V572" s="8"/>
      <c r="W572" s="8"/>
    </row>
    <row r="573" spans="1:23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8"/>
      <c r="U573" s="8"/>
      <c r="V573" s="8"/>
      <c r="W573" s="8"/>
    </row>
    <row r="574" spans="1:23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8"/>
      <c r="U574" s="8"/>
      <c r="V574" s="8"/>
      <c r="W574" s="8"/>
    </row>
    <row r="575" spans="1:23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8"/>
      <c r="U575" s="8"/>
      <c r="V575" s="8"/>
      <c r="W575" s="8"/>
    </row>
    <row r="576" spans="1:23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8"/>
      <c r="U576" s="8"/>
      <c r="V576" s="8"/>
      <c r="W576" s="8"/>
    </row>
    <row r="577" spans="1:23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8"/>
      <c r="U577" s="8"/>
      <c r="V577" s="8"/>
      <c r="W577" s="8"/>
    </row>
    <row r="578" spans="1:23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8"/>
      <c r="U578" s="8"/>
      <c r="V578" s="8"/>
      <c r="W578" s="8"/>
    </row>
    <row r="579" spans="1:23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8"/>
      <c r="U579" s="8"/>
      <c r="V579" s="8"/>
      <c r="W579" s="8"/>
    </row>
    <row r="580" spans="1:23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8"/>
      <c r="U580" s="8"/>
      <c r="V580" s="8"/>
      <c r="W580" s="8"/>
    </row>
    <row r="581" spans="1:23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8"/>
      <c r="U581" s="8"/>
      <c r="V581" s="8"/>
      <c r="W581" s="8"/>
    </row>
    <row r="582" spans="1:23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8"/>
      <c r="U582" s="8"/>
      <c r="V582" s="8"/>
      <c r="W582" s="8"/>
    </row>
    <row r="583" spans="1:23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8"/>
      <c r="U583" s="8"/>
      <c r="V583" s="8"/>
      <c r="W583" s="8"/>
    </row>
    <row r="584" spans="1:23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8"/>
      <c r="U584" s="8"/>
      <c r="V584" s="8"/>
      <c r="W584" s="8"/>
    </row>
    <row r="585" spans="1:23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8"/>
      <c r="U585" s="8"/>
      <c r="V585" s="8"/>
      <c r="W585" s="8"/>
    </row>
    <row r="586" spans="1:23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8"/>
      <c r="U586" s="8"/>
      <c r="V586" s="8"/>
      <c r="W586" s="8"/>
    </row>
    <row r="587" spans="1:23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8"/>
      <c r="U587" s="8"/>
      <c r="V587" s="8"/>
      <c r="W587" s="8"/>
    </row>
    <row r="588" spans="1:23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8"/>
      <c r="U588" s="8"/>
      <c r="V588" s="8"/>
      <c r="W588" s="8"/>
    </row>
    <row r="589" spans="1:23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8"/>
      <c r="U589" s="8"/>
      <c r="V589" s="8"/>
      <c r="W589" s="8"/>
    </row>
    <row r="590" spans="1:23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8"/>
      <c r="U590" s="8"/>
      <c r="V590" s="8"/>
      <c r="W590" s="8"/>
    </row>
    <row r="591" spans="1:23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8"/>
      <c r="U591" s="8"/>
      <c r="V591" s="8"/>
      <c r="W591" s="8"/>
    </row>
    <row r="592" spans="1:23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8"/>
      <c r="U592" s="8"/>
      <c r="V592" s="8"/>
      <c r="W592" s="8"/>
    </row>
    <row r="593" spans="1:23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8"/>
      <c r="U593" s="8"/>
      <c r="V593" s="8"/>
      <c r="W593" s="8"/>
    </row>
    <row r="594" spans="1:23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8"/>
      <c r="U594" s="8"/>
      <c r="V594" s="8"/>
      <c r="W594" s="8"/>
    </row>
    <row r="595" spans="1:23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8"/>
      <c r="U595" s="8"/>
      <c r="V595" s="8"/>
      <c r="W595" s="8"/>
    </row>
    <row r="596" spans="1:23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8"/>
      <c r="U596" s="8"/>
      <c r="V596" s="8"/>
      <c r="W596" s="8"/>
    </row>
    <row r="597" spans="1:23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8"/>
      <c r="U597" s="8"/>
      <c r="V597" s="8"/>
      <c r="W597" s="8"/>
    </row>
    <row r="598" spans="1:23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8"/>
      <c r="U598" s="8"/>
      <c r="V598" s="8"/>
      <c r="W598" s="8"/>
    </row>
    <row r="599" spans="1:23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8"/>
      <c r="U599" s="8"/>
      <c r="V599" s="8"/>
      <c r="W599" s="8"/>
    </row>
    <row r="600" spans="1:23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8"/>
      <c r="U600" s="8"/>
      <c r="V600" s="8"/>
      <c r="W600" s="8"/>
    </row>
    <row r="601" spans="1:23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8"/>
      <c r="U601" s="8"/>
      <c r="V601" s="8"/>
      <c r="W601" s="8"/>
    </row>
    <row r="602" spans="1:23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8"/>
      <c r="U602" s="8"/>
      <c r="V602" s="8"/>
      <c r="W602" s="8"/>
    </row>
    <row r="603" spans="1:23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8"/>
      <c r="U603" s="8"/>
      <c r="V603" s="8"/>
      <c r="W603" s="8"/>
    </row>
    <row r="604" spans="1:23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8"/>
      <c r="U604" s="8"/>
      <c r="V604" s="8"/>
      <c r="W604" s="8"/>
    </row>
    <row r="605" spans="1:23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8"/>
      <c r="U605" s="8"/>
      <c r="V605" s="8"/>
      <c r="W605" s="8"/>
    </row>
    <row r="606" spans="1:23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8"/>
      <c r="U606" s="8"/>
      <c r="V606" s="8"/>
      <c r="W606" s="8"/>
    </row>
    <row r="607" spans="1:23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8"/>
      <c r="U607" s="8"/>
      <c r="V607" s="8"/>
      <c r="W607" s="8"/>
    </row>
    <row r="608" spans="1:23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8"/>
      <c r="U608" s="8"/>
      <c r="V608" s="8"/>
      <c r="W608" s="8"/>
    </row>
    <row r="609" spans="1:23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8"/>
      <c r="U609" s="8"/>
      <c r="V609" s="8"/>
      <c r="W609" s="8"/>
    </row>
    <row r="610" spans="1:23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8"/>
      <c r="U610" s="8"/>
      <c r="V610" s="8"/>
      <c r="W610" s="8"/>
    </row>
    <row r="611" spans="1:23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8"/>
      <c r="U611" s="8"/>
      <c r="V611" s="8"/>
      <c r="W611" s="8"/>
    </row>
    <row r="612" spans="1:23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8"/>
      <c r="U612" s="8"/>
      <c r="V612" s="8"/>
      <c r="W612" s="8"/>
    </row>
    <row r="613" spans="1:23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8"/>
      <c r="U613" s="8"/>
      <c r="V613" s="8"/>
      <c r="W613" s="8"/>
    </row>
    <row r="614" spans="1:23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8"/>
      <c r="U614" s="8"/>
      <c r="V614" s="8"/>
      <c r="W614" s="8"/>
    </row>
    <row r="615" spans="1:23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8"/>
      <c r="U615" s="8"/>
      <c r="V615" s="8"/>
      <c r="W615" s="8"/>
    </row>
    <row r="616" spans="1:23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8"/>
      <c r="U616" s="8"/>
      <c r="V616" s="8"/>
      <c r="W616" s="8"/>
    </row>
    <row r="617" spans="1:23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8"/>
      <c r="U617" s="8"/>
      <c r="V617" s="8"/>
      <c r="W617" s="8"/>
    </row>
    <row r="618" spans="1:23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8"/>
      <c r="U618" s="8"/>
      <c r="V618" s="8"/>
      <c r="W618" s="8"/>
    </row>
    <row r="619" spans="1:23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8"/>
      <c r="U619" s="8"/>
      <c r="V619" s="8"/>
      <c r="W619" s="8"/>
    </row>
    <row r="620" spans="1:23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8"/>
      <c r="U620" s="8"/>
      <c r="V620" s="8"/>
      <c r="W620" s="8"/>
    </row>
    <row r="621" spans="1:23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8"/>
      <c r="U621" s="8"/>
      <c r="V621" s="8"/>
      <c r="W621" s="8"/>
    </row>
    <row r="622" spans="1:23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8"/>
      <c r="U622" s="8"/>
      <c r="V622" s="8"/>
      <c r="W622" s="8"/>
    </row>
    <row r="623" spans="1:23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8"/>
      <c r="U623" s="8"/>
      <c r="V623" s="8"/>
      <c r="W623" s="8"/>
    </row>
    <row r="624" spans="1:23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8"/>
      <c r="U624" s="8"/>
      <c r="V624" s="8"/>
      <c r="W624" s="8"/>
    </row>
    <row r="625" spans="1:23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8"/>
      <c r="U625" s="8"/>
      <c r="V625" s="8"/>
      <c r="W625" s="8"/>
    </row>
    <row r="626" spans="1:23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8"/>
      <c r="U626" s="8"/>
      <c r="V626" s="8"/>
      <c r="W626" s="8"/>
    </row>
    <row r="627" spans="1:23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8"/>
      <c r="U627" s="8"/>
      <c r="V627" s="8"/>
      <c r="W627" s="8"/>
    </row>
    <row r="628" spans="1:23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8"/>
      <c r="U628" s="8"/>
      <c r="V628" s="8"/>
      <c r="W628" s="8"/>
    </row>
    <row r="629" spans="1:23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8"/>
      <c r="U629" s="8"/>
      <c r="V629" s="8"/>
      <c r="W629" s="8"/>
    </row>
    <row r="630" spans="1:23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8"/>
      <c r="U630" s="8"/>
      <c r="V630" s="8"/>
      <c r="W630" s="8"/>
    </row>
    <row r="631" spans="1:23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8"/>
      <c r="U631" s="8"/>
      <c r="V631" s="8"/>
      <c r="W631" s="8"/>
    </row>
    <row r="632" spans="1:23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8"/>
      <c r="U632" s="8"/>
      <c r="V632" s="8"/>
      <c r="W632" s="8"/>
    </row>
    <row r="633" spans="1:23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8"/>
      <c r="U633" s="8"/>
      <c r="V633" s="8"/>
      <c r="W633" s="8"/>
    </row>
    <row r="634" spans="1:23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8"/>
      <c r="U634" s="8"/>
      <c r="V634" s="8"/>
      <c r="W634" s="8"/>
    </row>
    <row r="635" spans="1:23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8"/>
      <c r="U635" s="8"/>
      <c r="V635" s="8"/>
      <c r="W635" s="8"/>
    </row>
    <row r="636" spans="1:23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8"/>
      <c r="U636" s="8"/>
      <c r="V636" s="8"/>
      <c r="W636" s="8"/>
    </row>
    <row r="637" spans="1:23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8"/>
      <c r="U637" s="8"/>
      <c r="V637" s="8"/>
      <c r="W637" s="8"/>
    </row>
    <row r="638" spans="1:23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8"/>
      <c r="U638" s="8"/>
      <c r="V638" s="8"/>
      <c r="W638" s="8"/>
    </row>
    <row r="639" spans="1:23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8"/>
      <c r="U639" s="8"/>
      <c r="V639" s="8"/>
      <c r="W639" s="8"/>
    </row>
    <row r="640" spans="1:23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8"/>
      <c r="U640" s="8"/>
      <c r="V640" s="8"/>
      <c r="W640" s="8"/>
    </row>
    <row r="641" spans="1:23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8"/>
      <c r="U641" s="8"/>
      <c r="V641" s="8"/>
      <c r="W641" s="8"/>
    </row>
    <row r="642" spans="1:23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8"/>
      <c r="U642" s="8"/>
      <c r="V642" s="8"/>
      <c r="W642" s="8"/>
    </row>
    <row r="643" spans="1:23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8"/>
      <c r="U643" s="8"/>
      <c r="V643" s="8"/>
      <c r="W643" s="8"/>
    </row>
    <row r="644" spans="1:23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8"/>
      <c r="U644" s="8"/>
      <c r="V644" s="8"/>
      <c r="W644" s="8"/>
    </row>
    <row r="645" spans="1:23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8"/>
      <c r="U645" s="8"/>
      <c r="V645" s="8"/>
      <c r="W645" s="8"/>
    </row>
    <row r="646" spans="1:23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8"/>
      <c r="U646" s="8"/>
      <c r="V646" s="8"/>
      <c r="W646" s="8"/>
    </row>
    <row r="647" spans="1:23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8"/>
      <c r="U647" s="8"/>
      <c r="V647" s="8"/>
      <c r="W647" s="8"/>
    </row>
    <row r="648" spans="1:23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8"/>
      <c r="U648" s="8"/>
      <c r="V648" s="8"/>
      <c r="W648" s="8"/>
    </row>
    <row r="649" spans="1:23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8"/>
      <c r="U649" s="8"/>
      <c r="V649" s="8"/>
      <c r="W649" s="8"/>
    </row>
    <row r="650" spans="1:23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8"/>
      <c r="U650" s="8"/>
      <c r="V650" s="8"/>
      <c r="W650" s="8"/>
    </row>
    <row r="651" spans="1:23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8"/>
      <c r="U651" s="8"/>
      <c r="V651" s="8"/>
      <c r="W651" s="8"/>
    </row>
    <row r="652" spans="1:23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8"/>
      <c r="U652" s="8"/>
      <c r="V652" s="8"/>
      <c r="W652" s="8"/>
    </row>
    <row r="653" spans="1:23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8"/>
      <c r="U653" s="8"/>
      <c r="V653" s="8"/>
      <c r="W653" s="8"/>
    </row>
    <row r="654" spans="1:23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8"/>
      <c r="U654" s="8"/>
      <c r="V654" s="8"/>
      <c r="W654" s="8"/>
    </row>
    <row r="655" spans="1:23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8"/>
      <c r="U655" s="8"/>
      <c r="V655" s="8"/>
      <c r="W655" s="8"/>
    </row>
    <row r="656" spans="1:23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8"/>
      <c r="U656" s="8"/>
      <c r="V656" s="8"/>
      <c r="W656" s="8"/>
    </row>
    <row r="657" spans="1:23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8"/>
      <c r="U657" s="8"/>
      <c r="V657" s="8"/>
      <c r="W657" s="8"/>
    </row>
    <row r="658" spans="1:23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8"/>
      <c r="U658" s="8"/>
      <c r="V658" s="8"/>
      <c r="W658" s="8"/>
    </row>
    <row r="659" spans="1:23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8"/>
      <c r="U659" s="8"/>
      <c r="V659" s="8"/>
      <c r="W659" s="8"/>
    </row>
    <row r="660" spans="1:23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8"/>
      <c r="U660" s="8"/>
      <c r="V660" s="8"/>
      <c r="W660" s="8"/>
    </row>
    <row r="661" spans="1:23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8"/>
      <c r="U661" s="8"/>
      <c r="V661" s="8"/>
      <c r="W661" s="8"/>
    </row>
    <row r="662" spans="1:23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8"/>
      <c r="U662" s="8"/>
      <c r="V662" s="8"/>
      <c r="W662" s="8"/>
    </row>
    <row r="663" spans="1:23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8"/>
      <c r="U663" s="8"/>
      <c r="V663" s="8"/>
      <c r="W663" s="8"/>
    </row>
    <row r="664" spans="1:23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8"/>
      <c r="U664" s="8"/>
      <c r="V664" s="8"/>
      <c r="W664" s="8"/>
    </row>
    <row r="665" spans="1:23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8"/>
      <c r="U665" s="8"/>
      <c r="V665" s="8"/>
      <c r="W665" s="8"/>
    </row>
    <row r="666" spans="1:23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8"/>
      <c r="U666" s="8"/>
      <c r="V666" s="8"/>
      <c r="W666" s="8"/>
    </row>
    <row r="667" spans="1:23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8"/>
      <c r="U667" s="8"/>
      <c r="V667" s="8"/>
      <c r="W667" s="8"/>
    </row>
    <row r="668" spans="1:23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8"/>
      <c r="U668" s="8"/>
      <c r="V668" s="8"/>
      <c r="W668" s="8"/>
    </row>
    <row r="669" spans="1:23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8"/>
      <c r="U669" s="8"/>
      <c r="V669" s="8"/>
      <c r="W669" s="8"/>
    </row>
    <row r="670" spans="1:23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8"/>
      <c r="U670" s="8"/>
      <c r="V670" s="8"/>
      <c r="W670" s="8"/>
    </row>
    <row r="671" spans="1:23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8"/>
      <c r="U671" s="8"/>
      <c r="V671" s="8"/>
      <c r="W671" s="8"/>
    </row>
    <row r="672" spans="1:23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8"/>
      <c r="U672" s="8"/>
      <c r="V672" s="8"/>
      <c r="W672" s="8"/>
    </row>
    <row r="673" spans="1:23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8"/>
      <c r="U673" s="8"/>
      <c r="V673" s="8"/>
      <c r="W673" s="8"/>
    </row>
    <row r="674" spans="1:23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8"/>
      <c r="U674" s="8"/>
      <c r="V674" s="8"/>
      <c r="W674" s="8"/>
    </row>
    <row r="675" spans="1:23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8"/>
      <c r="U675" s="8"/>
      <c r="V675" s="8"/>
      <c r="W675" s="8"/>
    </row>
    <row r="676" spans="1:23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8"/>
      <c r="U676" s="8"/>
      <c r="V676" s="8"/>
      <c r="W676" s="8"/>
    </row>
    <row r="677" spans="1:23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8"/>
      <c r="U677" s="8"/>
      <c r="V677" s="8"/>
      <c r="W677" s="8"/>
    </row>
    <row r="678" spans="1:23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8"/>
      <c r="U678" s="8"/>
      <c r="V678" s="8"/>
      <c r="W678" s="8"/>
    </row>
    <row r="679" spans="1:23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8"/>
      <c r="U679" s="8"/>
      <c r="V679" s="8"/>
      <c r="W679" s="8"/>
    </row>
    <row r="680" spans="1:23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8"/>
      <c r="U680" s="8"/>
      <c r="V680" s="8"/>
      <c r="W680" s="8"/>
    </row>
    <row r="681" spans="1:23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8"/>
      <c r="U681" s="8"/>
      <c r="V681" s="8"/>
      <c r="W681" s="8"/>
    </row>
    <row r="682" spans="1:23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8"/>
      <c r="U682" s="8"/>
      <c r="V682" s="8"/>
      <c r="W682" s="8"/>
    </row>
    <row r="683" spans="1:23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8"/>
      <c r="U683" s="8"/>
      <c r="V683" s="8"/>
      <c r="W683" s="8"/>
    </row>
    <row r="684" spans="1:23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8"/>
      <c r="U684" s="8"/>
      <c r="V684" s="8"/>
      <c r="W684" s="8"/>
    </row>
    <row r="685" spans="1:23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8"/>
      <c r="U685" s="8"/>
      <c r="V685" s="8"/>
      <c r="W685" s="8"/>
    </row>
    <row r="686" spans="1:23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8"/>
      <c r="U686" s="8"/>
      <c r="V686" s="8"/>
      <c r="W686" s="8"/>
    </row>
    <row r="687" spans="1:23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8"/>
      <c r="U687" s="8"/>
      <c r="V687" s="8"/>
      <c r="W687" s="8"/>
    </row>
    <row r="688" spans="1:23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8"/>
      <c r="U688" s="8"/>
      <c r="V688" s="8"/>
      <c r="W688" s="8"/>
    </row>
    <row r="689" spans="1:23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8"/>
      <c r="U689" s="8"/>
      <c r="V689" s="8"/>
      <c r="W689" s="8"/>
    </row>
    <row r="690" spans="1:23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8"/>
      <c r="U690" s="8"/>
      <c r="V690" s="8"/>
      <c r="W690" s="8"/>
    </row>
    <row r="691" spans="1:23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8"/>
      <c r="U691" s="8"/>
      <c r="V691" s="8"/>
      <c r="W691" s="8"/>
    </row>
    <row r="692" spans="1:23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8"/>
      <c r="U692" s="8"/>
      <c r="V692" s="8"/>
      <c r="W692" s="8"/>
    </row>
    <row r="693" spans="1:23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8"/>
      <c r="U693" s="8"/>
      <c r="V693" s="8"/>
      <c r="W693" s="8"/>
    </row>
    <row r="694" spans="1:23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8"/>
      <c r="U694" s="8"/>
      <c r="V694" s="8"/>
      <c r="W694" s="8"/>
    </row>
    <row r="695" spans="1:23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8"/>
      <c r="U695" s="8"/>
      <c r="V695" s="8"/>
      <c r="W695" s="8"/>
    </row>
    <row r="696" spans="1:23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8"/>
      <c r="U696" s="8"/>
      <c r="V696" s="8"/>
      <c r="W696" s="8"/>
    </row>
    <row r="697" spans="1:23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8"/>
      <c r="U697" s="8"/>
      <c r="V697" s="8"/>
      <c r="W697" s="8"/>
    </row>
    <row r="698" spans="1:23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8"/>
      <c r="U698" s="8"/>
      <c r="V698" s="8"/>
      <c r="W698" s="8"/>
    </row>
    <row r="699" spans="1:23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8"/>
      <c r="U699" s="8"/>
      <c r="V699" s="8"/>
      <c r="W699" s="8"/>
    </row>
    <row r="700" spans="1:23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8"/>
      <c r="U700" s="8"/>
      <c r="V700" s="8"/>
      <c r="W700" s="8"/>
    </row>
    <row r="701" spans="1:23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8"/>
      <c r="U701" s="8"/>
      <c r="V701" s="8"/>
      <c r="W701" s="8"/>
    </row>
    <row r="702" spans="1:23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8"/>
      <c r="U702" s="8"/>
      <c r="V702" s="8"/>
      <c r="W702" s="8"/>
    </row>
    <row r="703" spans="1:23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8"/>
      <c r="U703" s="8"/>
      <c r="V703" s="8"/>
      <c r="W703" s="8"/>
    </row>
    <row r="704" spans="1:23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8"/>
      <c r="U704" s="8"/>
      <c r="V704" s="8"/>
      <c r="W704" s="8"/>
    </row>
    <row r="705" spans="1:23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8"/>
      <c r="U705" s="8"/>
      <c r="V705" s="8"/>
      <c r="W705" s="8"/>
    </row>
    <row r="706" spans="1:23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8"/>
      <c r="U706" s="8"/>
      <c r="V706" s="8"/>
      <c r="W706" s="8"/>
    </row>
    <row r="707" spans="1:23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8"/>
      <c r="U707" s="8"/>
      <c r="V707" s="8"/>
      <c r="W707" s="8"/>
    </row>
    <row r="708" spans="1:23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8"/>
      <c r="U708" s="8"/>
      <c r="V708" s="8"/>
      <c r="W708" s="8"/>
    </row>
    <row r="709" spans="1:23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8"/>
      <c r="U709" s="8"/>
      <c r="V709" s="8"/>
      <c r="W709" s="8"/>
    </row>
    <row r="710" spans="1:23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8"/>
      <c r="U710" s="8"/>
      <c r="V710" s="8"/>
      <c r="W710" s="8"/>
    </row>
    <row r="711" spans="1:23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8"/>
      <c r="U711" s="8"/>
      <c r="V711" s="8"/>
      <c r="W711" s="8"/>
    </row>
    <row r="712" spans="1:23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8"/>
      <c r="U712" s="8"/>
      <c r="V712" s="8"/>
      <c r="W712" s="8"/>
    </row>
    <row r="713" spans="1:23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8"/>
      <c r="U713" s="8"/>
      <c r="V713" s="8"/>
      <c r="W713" s="8"/>
    </row>
    <row r="714" spans="1:23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8"/>
      <c r="U714" s="8"/>
      <c r="V714" s="8"/>
      <c r="W714" s="8"/>
    </row>
    <row r="715" spans="1:23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8"/>
      <c r="U715" s="8"/>
      <c r="V715" s="8"/>
      <c r="W715" s="8"/>
    </row>
    <row r="716" spans="1:23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8"/>
      <c r="U716" s="8"/>
      <c r="V716" s="8"/>
      <c r="W716" s="8"/>
    </row>
    <row r="717" spans="1:23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8"/>
      <c r="U717" s="8"/>
      <c r="V717" s="8"/>
      <c r="W717" s="8"/>
    </row>
    <row r="718" spans="1:23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8"/>
      <c r="U718" s="8"/>
      <c r="V718" s="8"/>
      <c r="W718" s="8"/>
    </row>
    <row r="719" spans="1:23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8"/>
      <c r="U719" s="8"/>
      <c r="V719" s="8"/>
      <c r="W719" s="8"/>
    </row>
    <row r="720" spans="1:23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8"/>
      <c r="U720" s="8"/>
      <c r="V720" s="8"/>
      <c r="W720" s="8"/>
    </row>
    <row r="721" spans="1:23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8"/>
      <c r="U721" s="8"/>
      <c r="V721" s="8"/>
      <c r="W721" s="8"/>
    </row>
    <row r="722" spans="1:23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8"/>
      <c r="U722" s="8"/>
      <c r="V722" s="8"/>
      <c r="W722" s="8"/>
    </row>
    <row r="723" spans="1:23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8"/>
      <c r="U723" s="8"/>
      <c r="V723" s="8"/>
      <c r="W723" s="8"/>
    </row>
    <row r="724" spans="1:23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8"/>
      <c r="U724" s="8"/>
      <c r="V724" s="8"/>
      <c r="W724" s="8"/>
    </row>
    <row r="725" spans="1:23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8"/>
      <c r="U725" s="8"/>
      <c r="V725" s="8"/>
      <c r="W725" s="8"/>
    </row>
    <row r="726" spans="1:23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8"/>
      <c r="U726" s="8"/>
      <c r="V726" s="8"/>
      <c r="W726" s="8"/>
    </row>
    <row r="727" spans="1:23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8"/>
      <c r="U727" s="8"/>
      <c r="V727" s="8"/>
      <c r="W727" s="8"/>
    </row>
    <row r="728" spans="1:23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8"/>
      <c r="U728" s="8"/>
      <c r="V728" s="8"/>
      <c r="W728" s="8"/>
    </row>
    <row r="729" spans="1:23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8"/>
      <c r="U729" s="8"/>
      <c r="V729" s="8"/>
      <c r="W729" s="8"/>
    </row>
    <row r="730" spans="1:23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8"/>
      <c r="U730" s="8"/>
      <c r="V730" s="8"/>
      <c r="W730" s="8"/>
    </row>
    <row r="731" spans="1:23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8"/>
      <c r="U731" s="8"/>
      <c r="V731" s="8"/>
      <c r="W731" s="8"/>
    </row>
    <row r="732" spans="1:23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8"/>
      <c r="U732" s="8"/>
      <c r="V732" s="8"/>
      <c r="W732" s="8"/>
    </row>
    <row r="733" spans="1:23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8"/>
      <c r="U733" s="8"/>
      <c r="V733" s="8"/>
      <c r="W733" s="8"/>
    </row>
    <row r="734" spans="1:23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8"/>
      <c r="U734" s="8"/>
      <c r="V734" s="8"/>
      <c r="W734" s="8"/>
    </row>
    <row r="735" spans="1:23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8"/>
      <c r="U735" s="8"/>
      <c r="V735" s="8"/>
      <c r="W735" s="8"/>
    </row>
    <row r="736" spans="1:23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8"/>
      <c r="U736" s="8"/>
      <c r="V736" s="8"/>
      <c r="W736" s="8"/>
    </row>
    <row r="737" spans="1:23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8"/>
      <c r="U737" s="8"/>
      <c r="V737" s="8"/>
      <c r="W737" s="8"/>
    </row>
    <row r="738" spans="1:23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8"/>
      <c r="U738" s="8"/>
      <c r="V738" s="8"/>
      <c r="W738" s="8"/>
    </row>
    <row r="739" spans="1:23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8"/>
      <c r="U739" s="8"/>
      <c r="V739" s="8"/>
      <c r="W739" s="8"/>
    </row>
    <row r="740" spans="1:23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8"/>
      <c r="U740" s="8"/>
      <c r="V740" s="8"/>
      <c r="W740" s="8"/>
    </row>
    <row r="741" spans="1:23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8"/>
      <c r="U741" s="8"/>
      <c r="V741" s="8"/>
      <c r="W741" s="8"/>
    </row>
    <row r="742" spans="1:23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8"/>
      <c r="U742" s="8"/>
      <c r="V742" s="8"/>
      <c r="W742" s="8"/>
    </row>
    <row r="743" spans="1:23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8"/>
      <c r="U743" s="8"/>
      <c r="V743" s="8"/>
      <c r="W743" s="8"/>
    </row>
    <row r="744" spans="1:23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8"/>
      <c r="U744" s="8"/>
      <c r="V744" s="8"/>
      <c r="W744" s="8"/>
    </row>
    <row r="745" spans="1:23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8"/>
      <c r="U745" s="8"/>
      <c r="V745" s="8"/>
      <c r="W745" s="8"/>
    </row>
    <row r="746" spans="1:23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8"/>
      <c r="U746" s="8"/>
      <c r="V746" s="8"/>
      <c r="W746" s="8"/>
    </row>
    <row r="747" spans="1:23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8"/>
      <c r="U747" s="8"/>
      <c r="V747" s="8"/>
      <c r="W747" s="8"/>
    </row>
    <row r="748" spans="1:23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8"/>
      <c r="U748" s="8"/>
      <c r="V748" s="8"/>
      <c r="W748" s="8"/>
    </row>
    <row r="749" spans="1:23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8"/>
      <c r="U749" s="8"/>
      <c r="V749" s="8"/>
      <c r="W749" s="8"/>
    </row>
    <row r="750" spans="1:23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8"/>
      <c r="U750" s="8"/>
      <c r="V750" s="8"/>
      <c r="W750" s="8"/>
    </row>
    <row r="751" spans="1:23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8"/>
      <c r="U751" s="8"/>
      <c r="V751" s="8"/>
      <c r="W751" s="8"/>
    </row>
    <row r="752" spans="1:23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8"/>
      <c r="U752" s="8"/>
      <c r="V752" s="8"/>
      <c r="W752" s="8"/>
    </row>
    <row r="753" spans="1:23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8"/>
      <c r="U753" s="8"/>
      <c r="V753" s="8"/>
      <c r="W753" s="8"/>
    </row>
    <row r="754" spans="1:23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8"/>
      <c r="U754" s="8"/>
      <c r="V754" s="8"/>
      <c r="W754" s="8"/>
    </row>
    <row r="755" spans="1:23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8"/>
      <c r="U755" s="8"/>
      <c r="V755" s="8"/>
      <c r="W755" s="8"/>
    </row>
    <row r="756" spans="1:23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8"/>
      <c r="U756" s="8"/>
      <c r="V756" s="8"/>
      <c r="W756" s="8"/>
    </row>
    <row r="757" spans="1:23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8"/>
      <c r="U757" s="8"/>
      <c r="V757" s="8"/>
      <c r="W757" s="8"/>
    </row>
    <row r="758" spans="1:23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8"/>
      <c r="U758" s="8"/>
      <c r="V758" s="8"/>
      <c r="W758" s="8"/>
    </row>
    <row r="759" spans="1:23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8"/>
      <c r="U759" s="8"/>
      <c r="V759" s="8"/>
      <c r="W759" s="8"/>
    </row>
    <row r="760" spans="1:23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8"/>
      <c r="U760" s="8"/>
      <c r="V760" s="8"/>
      <c r="W760" s="8"/>
    </row>
    <row r="761" spans="1:23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8"/>
      <c r="U761" s="8"/>
      <c r="V761" s="8"/>
      <c r="W761" s="8"/>
    </row>
    <row r="762" spans="1:23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8"/>
      <c r="U762" s="8"/>
      <c r="V762" s="8"/>
      <c r="W762" s="8"/>
    </row>
    <row r="763" spans="1:23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8"/>
      <c r="U763" s="8"/>
      <c r="V763" s="8"/>
      <c r="W763" s="8"/>
    </row>
    <row r="764" spans="1:23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8"/>
      <c r="U764" s="8"/>
      <c r="V764" s="8"/>
      <c r="W764" s="8"/>
    </row>
    <row r="765" spans="1:23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8"/>
      <c r="U765" s="8"/>
      <c r="V765" s="8"/>
      <c r="W765" s="8"/>
    </row>
    <row r="766" spans="1:23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8"/>
      <c r="U766" s="8"/>
      <c r="V766" s="8"/>
      <c r="W766" s="8"/>
    </row>
    <row r="767" spans="1:23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8"/>
      <c r="U767" s="8"/>
      <c r="V767" s="8"/>
      <c r="W767" s="8"/>
    </row>
    <row r="768" spans="1:23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8"/>
      <c r="U768" s="8"/>
      <c r="V768" s="8"/>
      <c r="W768" s="8"/>
    </row>
    <row r="769" spans="1:23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8"/>
      <c r="U769" s="8"/>
      <c r="V769" s="8"/>
      <c r="W769" s="8"/>
    </row>
    <row r="770" spans="1:23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8"/>
      <c r="U770" s="8"/>
      <c r="V770" s="8"/>
      <c r="W770" s="8"/>
    </row>
    <row r="771" spans="1:23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8"/>
      <c r="U771" s="8"/>
      <c r="V771" s="8"/>
      <c r="W771" s="8"/>
    </row>
    <row r="772" spans="1:23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8"/>
      <c r="U772" s="8"/>
      <c r="V772" s="8"/>
      <c r="W772" s="8"/>
    </row>
    <row r="773" spans="1:23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8"/>
      <c r="U773" s="8"/>
      <c r="V773" s="8"/>
      <c r="W773" s="8"/>
    </row>
    <row r="774" spans="1:23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8"/>
      <c r="U774" s="8"/>
      <c r="V774" s="8"/>
      <c r="W774" s="8"/>
    </row>
    <row r="775" spans="1:23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8"/>
      <c r="U775" s="8"/>
      <c r="V775" s="8"/>
      <c r="W775" s="8"/>
    </row>
    <row r="776" spans="1:23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8"/>
      <c r="U776" s="8"/>
      <c r="V776" s="8"/>
      <c r="W776" s="8"/>
    </row>
    <row r="777" spans="1:23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8"/>
      <c r="U777" s="8"/>
      <c r="V777" s="8"/>
      <c r="W777" s="8"/>
    </row>
    <row r="778" spans="1:23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8"/>
      <c r="U778" s="8"/>
      <c r="V778" s="8"/>
      <c r="W778" s="8"/>
    </row>
    <row r="779" spans="1:23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8"/>
      <c r="U779" s="8"/>
      <c r="V779" s="8"/>
      <c r="W779" s="8"/>
    </row>
    <row r="780" spans="1:23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8"/>
      <c r="U780" s="8"/>
      <c r="V780" s="8"/>
      <c r="W780" s="8"/>
    </row>
    <row r="781" spans="1:23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8"/>
      <c r="U781" s="8"/>
      <c r="V781" s="8"/>
      <c r="W781" s="8"/>
    </row>
    <row r="782" spans="1:23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8"/>
      <c r="U782" s="8"/>
      <c r="V782" s="8"/>
      <c r="W782" s="8"/>
    </row>
    <row r="783" spans="1:23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8"/>
      <c r="U783" s="8"/>
      <c r="V783" s="8"/>
      <c r="W783" s="8"/>
    </row>
    <row r="784" spans="1:23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8"/>
      <c r="U784" s="8"/>
      <c r="V784" s="8"/>
      <c r="W784" s="8"/>
    </row>
    <row r="785" spans="1:23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8"/>
      <c r="U785" s="8"/>
      <c r="V785" s="8"/>
      <c r="W785" s="8"/>
    </row>
    <row r="786" spans="1:23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8"/>
      <c r="U786" s="8"/>
      <c r="V786" s="8"/>
      <c r="W786" s="8"/>
    </row>
    <row r="787" spans="1:23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8"/>
      <c r="U787" s="8"/>
      <c r="V787" s="8"/>
      <c r="W787" s="8"/>
    </row>
    <row r="788" spans="1:23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8"/>
      <c r="U788" s="8"/>
      <c r="V788" s="8"/>
      <c r="W788" s="8"/>
    </row>
    <row r="789" spans="1:23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8"/>
      <c r="U789" s="8"/>
      <c r="V789" s="8"/>
      <c r="W789" s="8"/>
    </row>
    <row r="790" spans="1:23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8"/>
      <c r="U790" s="8"/>
      <c r="V790" s="8"/>
      <c r="W790" s="8"/>
    </row>
    <row r="791" spans="1:23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8"/>
      <c r="U791" s="8"/>
      <c r="V791" s="8"/>
      <c r="W791" s="8"/>
    </row>
    <row r="792" spans="1:23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8"/>
      <c r="U792" s="8"/>
      <c r="V792" s="8"/>
      <c r="W792" s="8"/>
    </row>
    <row r="793" spans="1:23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8"/>
      <c r="U793" s="8"/>
      <c r="V793" s="8"/>
      <c r="W793" s="8"/>
    </row>
    <row r="794" spans="1:23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8"/>
      <c r="U794" s="8"/>
      <c r="V794" s="8"/>
      <c r="W794" s="8"/>
    </row>
    <row r="795" spans="1:23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8"/>
      <c r="U795" s="8"/>
      <c r="V795" s="8"/>
      <c r="W795" s="8"/>
    </row>
    <row r="796" spans="1:23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8"/>
      <c r="U796" s="8"/>
      <c r="V796" s="8"/>
      <c r="W796" s="8"/>
    </row>
    <row r="797" spans="1:23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8"/>
      <c r="U797" s="8"/>
      <c r="V797" s="8"/>
      <c r="W797" s="8"/>
    </row>
    <row r="798" spans="1:23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8"/>
      <c r="U798" s="8"/>
      <c r="V798" s="8"/>
      <c r="W798" s="8"/>
    </row>
    <row r="799" spans="1:23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8"/>
      <c r="U799" s="8"/>
      <c r="V799" s="8"/>
      <c r="W799" s="8"/>
    </row>
    <row r="800" spans="1:23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8"/>
      <c r="U800" s="8"/>
      <c r="V800" s="8"/>
      <c r="W800" s="8"/>
    </row>
    <row r="801" spans="1:23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8"/>
      <c r="U801" s="8"/>
      <c r="V801" s="8"/>
      <c r="W801" s="8"/>
    </row>
    <row r="802" spans="1:23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8"/>
      <c r="U802" s="8"/>
      <c r="V802" s="8"/>
      <c r="W802" s="8"/>
    </row>
    <row r="803" spans="1:23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8"/>
      <c r="U803" s="8"/>
      <c r="V803" s="8"/>
      <c r="W803" s="8"/>
    </row>
    <row r="804" spans="1:23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8"/>
      <c r="U804" s="8"/>
      <c r="V804" s="8"/>
      <c r="W804" s="8"/>
    </row>
    <row r="805" spans="1:23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8"/>
      <c r="U805" s="8"/>
      <c r="V805" s="8"/>
      <c r="W805" s="8"/>
    </row>
    <row r="806" spans="1:23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8"/>
      <c r="U806" s="8"/>
      <c r="V806" s="8"/>
      <c r="W806" s="8"/>
    </row>
    <row r="807" spans="1:23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8"/>
      <c r="U807" s="8"/>
      <c r="V807" s="8"/>
      <c r="W807" s="8"/>
    </row>
    <row r="808" spans="1:23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8"/>
      <c r="U808" s="8"/>
      <c r="V808" s="8"/>
      <c r="W808" s="8"/>
    </row>
    <row r="809" spans="1:23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8"/>
      <c r="U809" s="8"/>
      <c r="V809" s="8"/>
      <c r="W809" s="8"/>
    </row>
    <row r="810" spans="1:23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8"/>
      <c r="U810" s="8"/>
      <c r="V810" s="8"/>
      <c r="W810" s="8"/>
    </row>
    <row r="811" spans="1:23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8"/>
      <c r="U811" s="8"/>
      <c r="V811" s="8"/>
      <c r="W811" s="8"/>
    </row>
    <row r="812" spans="1:23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8"/>
      <c r="U812" s="8"/>
      <c r="V812" s="8"/>
      <c r="W812" s="8"/>
    </row>
    <row r="813" spans="1:23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8"/>
      <c r="U813" s="8"/>
      <c r="V813" s="8"/>
      <c r="W813" s="8"/>
    </row>
    <row r="814" spans="1:23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8"/>
      <c r="U814" s="8"/>
      <c r="V814" s="8"/>
      <c r="W814" s="8"/>
    </row>
    <row r="815" spans="1:23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8"/>
      <c r="U815" s="8"/>
      <c r="V815" s="8"/>
      <c r="W815" s="8"/>
    </row>
    <row r="816" spans="1:23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8"/>
      <c r="U816" s="8"/>
      <c r="V816" s="8"/>
      <c r="W816" s="8"/>
    </row>
    <row r="817" spans="1:23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8"/>
      <c r="U817" s="8"/>
      <c r="V817" s="8"/>
      <c r="W817" s="8"/>
    </row>
    <row r="818" spans="1:23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8"/>
      <c r="U818" s="8"/>
      <c r="V818" s="8"/>
      <c r="W818" s="8"/>
    </row>
    <row r="819" spans="1:23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8"/>
      <c r="U819" s="8"/>
      <c r="V819" s="8"/>
      <c r="W819" s="8"/>
    </row>
    <row r="820" spans="1:23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8"/>
      <c r="U820" s="8"/>
      <c r="V820" s="8"/>
      <c r="W820" s="8"/>
    </row>
    <row r="821" spans="1:23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8"/>
      <c r="U821" s="8"/>
      <c r="V821" s="8"/>
      <c r="W821" s="8"/>
    </row>
    <row r="822" spans="1:23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8"/>
      <c r="U822" s="8"/>
      <c r="V822" s="8"/>
      <c r="W822" s="8"/>
    </row>
    <row r="823" spans="1:23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8"/>
      <c r="U823" s="8"/>
      <c r="V823" s="8"/>
      <c r="W823" s="8"/>
    </row>
    <row r="824" spans="1:23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8"/>
      <c r="U824" s="8"/>
      <c r="V824" s="8"/>
      <c r="W824" s="8"/>
    </row>
    <row r="825" spans="1:23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8"/>
      <c r="U825" s="8"/>
      <c r="V825" s="8"/>
      <c r="W825" s="8"/>
    </row>
    <row r="826" spans="1:23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8"/>
      <c r="U826" s="8"/>
      <c r="V826" s="8"/>
      <c r="W826" s="8"/>
    </row>
    <row r="827" spans="1:23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8"/>
      <c r="U827" s="8"/>
      <c r="V827" s="8"/>
      <c r="W827" s="8"/>
    </row>
    <row r="828" spans="1:23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8"/>
      <c r="U828" s="8"/>
      <c r="V828" s="8"/>
      <c r="W828" s="8"/>
    </row>
    <row r="829" spans="1:23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8"/>
      <c r="U829" s="8"/>
      <c r="V829" s="8"/>
      <c r="W829" s="8"/>
    </row>
    <row r="830" spans="1:23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8"/>
      <c r="U830" s="8"/>
      <c r="V830" s="8"/>
      <c r="W830" s="8"/>
    </row>
    <row r="831" spans="1:23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8"/>
      <c r="U831" s="8"/>
      <c r="V831" s="8"/>
      <c r="W831" s="8"/>
    </row>
    <row r="832" spans="1:23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8"/>
      <c r="U832" s="8"/>
      <c r="V832" s="8"/>
      <c r="W832" s="8"/>
    </row>
    <row r="833" spans="1:23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8"/>
      <c r="U833" s="8"/>
      <c r="V833" s="8"/>
      <c r="W833" s="8"/>
    </row>
    <row r="834" spans="1:23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8"/>
      <c r="U834" s="8"/>
      <c r="V834" s="8"/>
      <c r="W834" s="8"/>
    </row>
    <row r="835" spans="1:23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8"/>
      <c r="U835" s="8"/>
      <c r="V835" s="8"/>
      <c r="W835" s="8"/>
    </row>
    <row r="836" spans="1:23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8"/>
      <c r="U836" s="8"/>
      <c r="V836" s="8"/>
      <c r="W836" s="8"/>
    </row>
    <row r="837" spans="1:23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8"/>
      <c r="U837" s="8"/>
      <c r="V837" s="8"/>
      <c r="W837" s="8"/>
    </row>
    <row r="838" spans="1:23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8"/>
      <c r="U838" s="8"/>
      <c r="V838" s="8"/>
      <c r="W838" s="8"/>
    </row>
    <row r="839" spans="1:23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8"/>
      <c r="U839" s="8"/>
      <c r="V839" s="8"/>
      <c r="W839" s="8"/>
    </row>
    <row r="840" spans="1:23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8"/>
      <c r="U840" s="8"/>
      <c r="V840" s="8"/>
      <c r="W840" s="8"/>
    </row>
    <row r="841" spans="1:23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8"/>
      <c r="U841" s="8"/>
      <c r="V841" s="8"/>
      <c r="W841" s="8"/>
    </row>
    <row r="842" spans="1:23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8"/>
      <c r="U842" s="8"/>
      <c r="V842" s="8"/>
      <c r="W842" s="8"/>
    </row>
    <row r="843" spans="1:23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8"/>
      <c r="U843" s="8"/>
      <c r="V843" s="8"/>
      <c r="W843" s="8"/>
    </row>
    <row r="844" spans="1:23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8"/>
      <c r="U844" s="8"/>
      <c r="V844" s="8"/>
      <c r="W844" s="8"/>
    </row>
    <row r="845" spans="1:23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8"/>
      <c r="U845" s="8"/>
      <c r="V845" s="8"/>
      <c r="W845" s="8"/>
    </row>
    <row r="846" spans="1:23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8"/>
      <c r="U846" s="8"/>
      <c r="V846" s="8"/>
      <c r="W846" s="8"/>
    </row>
    <row r="847" spans="1:23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8"/>
      <c r="U847" s="8"/>
      <c r="V847" s="8"/>
      <c r="W847" s="8"/>
    </row>
    <row r="848" spans="1:23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8"/>
      <c r="U848" s="8"/>
      <c r="V848" s="8"/>
      <c r="W848" s="8"/>
    </row>
    <row r="849" spans="1:23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8"/>
      <c r="U849" s="8"/>
      <c r="V849" s="8"/>
      <c r="W849" s="8"/>
    </row>
    <row r="850" spans="1:23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8"/>
      <c r="U850" s="8"/>
      <c r="V850" s="8"/>
      <c r="W850" s="8"/>
    </row>
    <row r="851" spans="1:23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8"/>
      <c r="U851" s="8"/>
      <c r="V851" s="8"/>
      <c r="W851" s="8"/>
    </row>
    <row r="852" spans="1:23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8"/>
      <c r="U852" s="8"/>
      <c r="V852" s="8"/>
      <c r="W852" s="8"/>
    </row>
    <row r="853" spans="1:23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8"/>
      <c r="U853" s="8"/>
      <c r="V853" s="8"/>
      <c r="W853" s="8"/>
    </row>
    <row r="854" spans="1:23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8"/>
      <c r="U854" s="8"/>
      <c r="V854" s="8"/>
      <c r="W854" s="8"/>
    </row>
    <row r="855" spans="1:23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8"/>
      <c r="U855" s="8"/>
      <c r="V855" s="8"/>
      <c r="W855" s="8"/>
    </row>
    <row r="856" spans="1:23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8"/>
      <c r="U856" s="8"/>
      <c r="V856" s="8"/>
      <c r="W856" s="8"/>
    </row>
    <row r="857" spans="1:23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8"/>
      <c r="U857" s="8"/>
      <c r="V857" s="8"/>
      <c r="W857" s="8"/>
    </row>
    <row r="858" spans="1:23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8"/>
      <c r="U858" s="8"/>
      <c r="V858" s="8"/>
      <c r="W858" s="8"/>
    </row>
    <row r="859" spans="1:23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8"/>
      <c r="U859" s="8"/>
      <c r="V859" s="8"/>
      <c r="W859" s="8"/>
    </row>
    <row r="860" spans="1:23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8"/>
      <c r="U860" s="8"/>
      <c r="V860" s="8"/>
      <c r="W860" s="8"/>
    </row>
    <row r="861" spans="1:23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8"/>
      <c r="U861" s="8"/>
      <c r="V861" s="8"/>
      <c r="W861" s="8"/>
    </row>
    <row r="862" spans="1:23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8"/>
      <c r="U862" s="8"/>
      <c r="V862" s="8"/>
      <c r="W862" s="8"/>
    </row>
    <row r="863" spans="1:23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8"/>
      <c r="U863" s="8"/>
      <c r="V863" s="8"/>
      <c r="W863" s="8"/>
    </row>
    <row r="864" spans="1:23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8"/>
      <c r="U864" s="8"/>
      <c r="V864" s="8"/>
      <c r="W864" s="8"/>
    </row>
    <row r="865" spans="1:23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8"/>
      <c r="U865" s="8"/>
      <c r="V865" s="8"/>
      <c r="W865" s="8"/>
    </row>
    <row r="866" spans="1:23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8"/>
      <c r="U866" s="8"/>
      <c r="V866" s="8"/>
      <c r="W866" s="8"/>
    </row>
    <row r="867" spans="1:23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8"/>
      <c r="U867" s="8"/>
      <c r="V867" s="8"/>
      <c r="W867" s="8"/>
    </row>
    <row r="868" spans="1:23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8"/>
      <c r="U868" s="8"/>
      <c r="V868" s="8"/>
      <c r="W868" s="8"/>
    </row>
    <row r="869" spans="1:23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8"/>
      <c r="U869" s="8"/>
      <c r="V869" s="8"/>
      <c r="W869" s="8"/>
    </row>
    <row r="870" spans="1:23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8"/>
      <c r="U870" s="8"/>
      <c r="V870" s="8"/>
      <c r="W870" s="8"/>
    </row>
    <row r="871" spans="1:23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8"/>
      <c r="U871" s="8"/>
      <c r="V871" s="8"/>
      <c r="W871" s="8"/>
    </row>
    <row r="872" spans="1:23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8"/>
      <c r="U872" s="8"/>
      <c r="V872" s="8"/>
      <c r="W872" s="8"/>
    </row>
    <row r="873" spans="1:23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8"/>
      <c r="U873" s="8"/>
      <c r="V873" s="8"/>
      <c r="W873" s="8"/>
    </row>
    <row r="874" spans="1:23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8"/>
      <c r="U874" s="8"/>
      <c r="V874" s="8"/>
      <c r="W874" s="8"/>
    </row>
    <row r="875" spans="1:23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8"/>
      <c r="U875" s="8"/>
      <c r="V875" s="8"/>
      <c r="W875" s="8"/>
    </row>
    <row r="876" spans="1:23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8"/>
      <c r="U876" s="8"/>
      <c r="V876" s="8"/>
      <c r="W876" s="8"/>
    </row>
    <row r="877" spans="1:23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8"/>
      <c r="U877" s="8"/>
      <c r="V877" s="8"/>
      <c r="W877" s="8"/>
    </row>
    <row r="878" spans="1:23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8"/>
      <c r="U878" s="8"/>
      <c r="V878" s="8"/>
      <c r="W878" s="8"/>
    </row>
    <row r="879" spans="1:23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8"/>
      <c r="U879" s="8"/>
      <c r="V879" s="8"/>
      <c r="W879" s="8"/>
    </row>
    <row r="880" spans="1:23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8"/>
      <c r="U880" s="8"/>
      <c r="V880" s="8"/>
      <c r="W880" s="8"/>
    </row>
    <row r="881" spans="1:23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8"/>
      <c r="U881" s="8"/>
      <c r="V881" s="8"/>
      <c r="W881" s="8"/>
    </row>
    <row r="882" spans="1:23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8"/>
      <c r="U882" s="8"/>
      <c r="V882" s="8"/>
      <c r="W882" s="8"/>
    </row>
    <row r="883" spans="1:23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8"/>
      <c r="U883" s="8"/>
      <c r="V883" s="8"/>
      <c r="W883" s="8"/>
    </row>
    <row r="884" spans="1:23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8"/>
      <c r="U884" s="8"/>
      <c r="V884" s="8"/>
      <c r="W884" s="8"/>
    </row>
    <row r="885" spans="1:23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8"/>
      <c r="U885" s="8"/>
      <c r="V885" s="8"/>
      <c r="W885" s="8"/>
    </row>
    <row r="886" spans="1:23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8"/>
      <c r="U886" s="8"/>
      <c r="V886" s="8"/>
      <c r="W886" s="8"/>
    </row>
    <row r="887" spans="1:23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8"/>
      <c r="U887" s="8"/>
      <c r="V887" s="8"/>
      <c r="W887" s="8"/>
    </row>
    <row r="888" spans="1:23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8"/>
      <c r="U888" s="8"/>
      <c r="V888" s="8"/>
      <c r="W888" s="8"/>
    </row>
    <row r="889" spans="1:23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8"/>
      <c r="U889" s="8"/>
      <c r="V889" s="8"/>
      <c r="W889" s="8"/>
    </row>
    <row r="890" spans="1:23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8"/>
      <c r="U890" s="8"/>
      <c r="V890" s="8"/>
      <c r="W890" s="8"/>
    </row>
    <row r="891" spans="1:23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8"/>
      <c r="U891" s="8"/>
      <c r="V891" s="8"/>
      <c r="W891" s="8"/>
    </row>
    <row r="892" spans="1:23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8"/>
      <c r="U892" s="8"/>
      <c r="V892" s="8"/>
      <c r="W892" s="8"/>
    </row>
    <row r="893" spans="1:23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8"/>
      <c r="U893" s="8"/>
      <c r="V893" s="8"/>
      <c r="W893" s="8"/>
    </row>
    <row r="894" spans="1:23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8"/>
      <c r="U894" s="8"/>
      <c r="V894" s="8"/>
      <c r="W894" s="8"/>
    </row>
    <row r="895" spans="1:23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8"/>
      <c r="U895" s="8"/>
      <c r="V895" s="8"/>
      <c r="W895" s="8"/>
    </row>
    <row r="896" spans="1:23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8"/>
      <c r="U896" s="8"/>
      <c r="V896" s="8"/>
      <c r="W896" s="8"/>
    </row>
    <row r="897" spans="1:23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8"/>
      <c r="U897" s="8"/>
      <c r="V897" s="8"/>
      <c r="W897" s="8"/>
    </row>
    <row r="898" spans="1:23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8"/>
      <c r="U898" s="8"/>
      <c r="V898" s="8"/>
      <c r="W898" s="8"/>
    </row>
    <row r="899" spans="1:23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8"/>
      <c r="U899" s="8"/>
      <c r="V899" s="8"/>
      <c r="W899" s="8"/>
    </row>
    <row r="900" spans="1:23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8"/>
      <c r="U900" s="8"/>
      <c r="V900" s="8"/>
      <c r="W900" s="8"/>
    </row>
    <row r="901" spans="1:23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8"/>
      <c r="U901" s="8"/>
      <c r="V901" s="8"/>
      <c r="W901" s="8"/>
    </row>
    <row r="902" spans="1:23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8"/>
      <c r="U902" s="8"/>
      <c r="V902" s="8"/>
      <c r="W902" s="8"/>
    </row>
    <row r="903" spans="1:23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8"/>
      <c r="U903" s="8"/>
      <c r="V903" s="8"/>
      <c r="W903" s="8"/>
    </row>
    <row r="904" spans="1:23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8"/>
      <c r="U904" s="8"/>
      <c r="V904" s="8"/>
      <c r="W904" s="8"/>
    </row>
    <row r="905" spans="1:23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8"/>
      <c r="U905" s="8"/>
      <c r="V905" s="8"/>
      <c r="W905" s="8"/>
    </row>
    <row r="906" spans="1:23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8"/>
      <c r="U906" s="8"/>
      <c r="V906" s="8"/>
      <c r="W906" s="8"/>
    </row>
    <row r="907" spans="1:23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8"/>
      <c r="U907" s="8"/>
      <c r="V907" s="8"/>
      <c r="W907" s="8"/>
    </row>
    <row r="908" spans="1:23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8"/>
      <c r="U908" s="8"/>
      <c r="V908" s="8"/>
      <c r="W908" s="8"/>
    </row>
    <row r="909" spans="1:23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8"/>
      <c r="U909" s="8"/>
      <c r="V909" s="8"/>
      <c r="W909" s="8"/>
    </row>
    <row r="910" spans="1:23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8"/>
      <c r="U910" s="8"/>
      <c r="V910" s="8"/>
      <c r="W910" s="8"/>
    </row>
    <row r="911" spans="1:23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8"/>
      <c r="U911" s="8"/>
      <c r="V911" s="8"/>
      <c r="W911" s="8"/>
    </row>
    <row r="912" spans="1:23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8"/>
      <c r="U912" s="8"/>
      <c r="V912" s="8"/>
      <c r="W912" s="8"/>
    </row>
    <row r="913" spans="1:23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8"/>
      <c r="U913" s="8"/>
      <c r="V913" s="8"/>
      <c r="W913" s="8"/>
    </row>
    <row r="914" spans="1:23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8"/>
      <c r="U914" s="8"/>
      <c r="V914" s="8"/>
      <c r="W914" s="8"/>
    </row>
    <row r="915" spans="1:23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8"/>
      <c r="U915" s="8"/>
      <c r="V915" s="8"/>
      <c r="W915" s="8"/>
    </row>
    <row r="916" spans="1:23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8"/>
      <c r="U916" s="8"/>
      <c r="V916" s="8"/>
      <c r="W916" s="8"/>
    </row>
    <row r="917" spans="1:23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8"/>
      <c r="U917" s="8"/>
      <c r="V917" s="8"/>
      <c r="W917" s="8"/>
    </row>
    <row r="918" spans="1:23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8"/>
      <c r="U918" s="8"/>
      <c r="V918" s="8"/>
      <c r="W918" s="8"/>
    </row>
    <row r="919" spans="1:23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8"/>
      <c r="U919" s="8"/>
      <c r="V919" s="8"/>
      <c r="W919" s="8"/>
    </row>
    <row r="920" spans="1:23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8"/>
      <c r="U920" s="8"/>
      <c r="V920" s="8"/>
      <c r="W920" s="8"/>
    </row>
    <row r="921" spans="1:23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8"/>
      <c r="U921" s="8"/>
      <c r="V921" s="8"/>
      <c r="W921" s="8"/>
    </row>
    <row r="922" spans="1:23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8"/>
      <c r="U922" s="8"/>
      <c r="V922" s="8"/>
      <c r="W922" s="8"/>
    </row>
    <row r="923" spans="1:23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8"/>
      <c r="U923" s="8"/>
      <c r="V923" s="8"/>
      <c r="W923" s="8"/>
    </row>
    <row r="924" spans="1:23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8"/>
      <c r="U924" s="8"/>
      <c r="V924" s="8"/>
      <c r="W924" s="8"/>
    </row>
    <row r="925" spans="1:23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8"/>
      <c r="U925" s="8"/>
      <c r="V925" s="8"/>
      <c r="W925" s="8"/>
    </row>
    <row r="926" spans="1:23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8"/>
      <c r="U926" s="8"/>
      <c r="V926" s="8"/>
      <c r="W926" s="8"/>
    </row>
    <row r="927" spans="1:23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8"/>
      <c r="U927" s="8"/>
      <c r="V927" s="8"/>
      <c r="W927" s="8"/>
    </row>
    <row r="928" spans="1:23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8"/>
      <c r="U928" s="8"/>
      <c r="V928" s="8"/>
      <c r="W928" s="8"/>
    </row>
    <row r="929" spans="1:23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8"/>
      <c r="U929" s="8"/>
      <c r="V929" s="8"/>
      <c r="W929" s="8"/>
    </row>
    <row r="930" spans="1:23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8"/>
      <c r="U930" s="8"/>
      <c r="V930" s="8"/>
      <c r="W930" s="8"/>
    </row>
    <row r="931" spans="1:23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8"/>
      <c r="U931" s="8"/>
      <c r="V931" s="8"/>
      <c r="W931" s="8"/>
    </row>
    <row r="932" spans="1:23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8"/>
      <c r="U932" s="8"/>
      <c r="V932" s="8"/>
      <c r="W932" s="8"/>
    </row>
    <row r="933" spans="1:23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8"/>
      <c r="U933" s="8"/>
      <c r="V933" s="8"/>
      <c r="W933" s="8"/>
    </row>
    <row r="934" spans="1:23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8"/>
      <c r="U934" s="8"/>
      <c r="V934" s="8"/>
      <c r="W934" s="8"/>
    </row>
    <row r="935" spans="1:23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8"/>
      <c r="U935" s="8"/>
      <c r="V935" s="8"/>
      <c r="W935" s="8"/>
    </row>
    <row r="936" spans="1:23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8"/>
      <c r="U936" s="8"/>
      <c r="V936" s="8"/>
      <c r="W936" s="8"/>
    </row>
    <row r="937" spans="1:23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8"/>
      <c r="U937" s="8"/>
      <c r="V937" s="8"/>
      <c r="W937" s="8"/>
    </row>
    <row r="938" spans="1:23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8"/>
      <c r="U938" s="8"/>
      <c r="V938" s="8"/>
      <c r="W938" s="8"/>
    </row>
    <row r="939" spans="1:23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8"/>
      <c r="U939" s="8"/>
      <c r="V939" s="8"/>
      <c r="W939" s="8"/>
    </row>
    <row r="940" spans="1:23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8"/>
      <c r="U940" s="8"/>
      <c r="V940" s="8"/>
      <c r="W940" s="8"/>
    </row>
    <row r="941" spans="1:23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8"/>
      <c r="U941" s="8"/>
      <c r="V941" s="8"/>
      <c r="W941" s="8"/>
    </row>
    <row r="942" spans="1:23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8"/>
      <c r="U942" s="8"/>
      <c r="V942" s="8"/>
      <c r="W942" s="8"/>
    </row>
    <row r="943" spans="1:23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8"/>
      <c r="U943" s="8"/>
      <c r="V943" s="8"/>
      <c r="W943" s="8"/>
    </row>
    <row r="944" spans="1:23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8"/>
      <c r="U944" s="8"/>
      <c r="V944" s="8"/>
      <c r="W944" s="8"/>
    </row>
    <row r="945" spans="1:23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8"/>
      <c r="U945" s="8"/>
      <c r="V945" s="8"/>
      <c r="W945" s="8"/>
    </row>
    <row r="946" spans="1:23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8"/>
      <c r="U946" s="8"/>
      <c r="V946" s="8"/>
      <c r="W946" s="8"/>
    </row>
    <row r="947" spans="1:23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8"/>
      <c r="U947" s="8"/>
      <c r="V947" s="8"/>
      <c r="W947" s="8"/>
    </row>
    <row r="948" spans="1:23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8"/>
      <c r="U948" s="8"/>
      <c r="V948" s="8"/>
      <c r="W948" s="8"/>
    </row>
    <row r="949" spans="1:23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8"/>
      <c r="U949" s="8"/>
      <c r="V949" s="8"/>
      <c r="W949" s="8"/>
    </row>
    <row r="950" spans="1:23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8"/>
      <c r="U950" s="8"/>
      <c r="V950" s="8"/>
      <c r="W950" s="8"/>
    </row>
    <row r="951" spans="1:23" ht="15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8"/>
      <c r="U951" s="8"/>
      <c r="V951" s="8"/>
      <c r="W951" s="8"/>
    </row>
    <row r="952" spans="1:23" ht="15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8"/>
      <c r="U952" s="8"/>
      <c r="V952" s="8"/>
      <c r="W952" s="8"/>
    </row>
    <row r="953" spans="1:23" ht="15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8"/>
      <c r="U953" s="8"/>
      <c r="V953" s="8"/>
      <c r="W953" s="8"/>
    </row>
    <row r="954" spans="1:23" ht="15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8"/>
      <c r="U954" s="8"/>
      <c r="V954" s="8"/>
      <c r="W954" s="8"/>
    </row>
    <row r="955" spans="1:23" ht="15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8"/>
      <c r="U955" s="8"/>
      <c r="V955" s="8"/>
      <c r="W955" s="8"/>
    </row>
    <row r="956" spans="1:23" ht="15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8"/>
      <c r="U956" s="8"/>
      <c r="V956" s="8"/>
      <c r="W956" s="8"/>
    </row>
    <row r="957" spans="1:23" ht="15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8"/>
      <c r="U957" s="8"/>
      <c r="V957" s="8"/>
      <c r="W957" s="8"/>
    </row>
    <row r="958" spans="1:23" ht="15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8"/>
      <c r="U958" s="8"/>
      <c r="V958" s="8"/>
      <c r="W958" s="8"/>
    </row>
    <row r="959" spans="1:23" ht="15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8"/>
      <c r="U959" s="8"/>
      <c r="V959" s="8"/>
      <c r="W959" s="8"/>
    </row>
    <row r="960" spans="1:23" ht="15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8"/>
      <c r="U960" s="8"/>
      <c r="V960" s="8"/>
      <c r="W960" s="8"/>
    </row>
    <row r="961" spans="1:23" ht="15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8"/>
      <c r="U961" s="8"/>
      <c r="V961" s="8"/>
      <c r="W961" s="8"/>
    </row>
    <row r="962" spans="1:23" ht="15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8"/>
      <c r="U962" s="8"/>
      <c r="V962" s="8"/>
      <c r="W962" s="8"/>
    </row>
    <row r="963" spans="1:23" ht="15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8"/>
      <c r="U963" s="8"/>
      <c r="V963" s="8"/>
      <c r="W963" s="8"/>
    </row>
    <row r="964" spans="1:23" ht="15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8"/>
      <c r="U964" s="8"/>
      <c r="V964" s="8"/>
      <c r="W964" s="8"/>
    </row>
    <row r="965" spans="1:23" ht="15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8"/>
      <c r="U965" s="8"/>
      <c r="V965" s="8"/>
      <c r="W965" s="8"/>
    </row>
    <row r="966" spans="1:23" ht="15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8"/>
      <c r="U966" s="8"/>
      <c r="V966" s="8"/>
      <c r="W966" s="8"/>
    </row>
    <row r="967" spans="1:23" ht="15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8"/>
      <c r="U967" s="8"/>
      <c r="V967" s="8"/>
      <c r="W967" s="8"/>
    </row>
    <row r="968" spans="1:23" ht="15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8"/>
      <c r="U968" s="8"/>
      <c r="V968" s="8"/>
      <c r="W968" s="8"/>
    </row>
    <row r="969" spans="1:23" ht="15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8"/>
      <c r="U969" s="8"/>
      <c r="V969" s="8"/>
      <c r="W969" s="8"/>
    </row>
    <row r="970" spans="1:23" ht="15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8"/>
      <c r="U970" s="8"/>
      <c r="V970" s="8"/>
      <c r="W970" s="8"/>
    </row>
    <row r="971" spans="1:23" ht="15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8"/>
      <c r="U971" s="8"/>
      <c r="V971" s="8"/>
      <c r="W971" s="8"/>
    </row>
    <row r="972" spans="1:23" ht="15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8"/>
      <c r="U972" s="8"/>
      <c r="V972" s="8"/>
      <c r="W972" s="8"/>
    </row>
    <row r="973" spans="1:23" ht="15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8"/>
      <c r="U973" s="8"/>
      <c r="V973" s="8"/>
      <c r="W973" s="8"/>
    </row>
    <row r="974" spans="1:23" ht="15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8"/>
      <c r="U974" s="8"/>
      <c r="V974" s="8"/>
      <c r="W974" s="8"/>
    </row>
    <row r="975" spans="1:23" ht="15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8"/>
      <c r="U975" s="8"/>
      <c r="V975" s="8"/>
      <c r="W975" s="8"/>
    </row>
    <row r="976" spans="1:23" ht="15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8"/>
      <c r="U976" s="8"/>
      <c r="V976" s="8"/>
      <c r="W976" s="8"/>
    </row>
    <row r="977" spans="1:23" ht="15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8"/>
      <c r="U977" s="8"/>
      <c r="V977" s="8"/>
      <c r="W977" s="8"/>
    </row>
    <row r="978" spans="1:23" ht="15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8"/>
      <c r="U978" s="8"/>
      <c r="V978" s="8"/>
      <c r="W978" s="8"/>
    </row>
    <row r="979" spans="1:23" ht="15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8"/>
      <c r="U979" s="8"/>
      <c r="V979" s="8"/>
      <c r="W979" s="8"/>
    </row>
    <row r="980" spans="1:23" ht="15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8"/>
      <c r="U980" s="8"/>
      <c r="V980" s="8"/>
      <c r="W980" s="8"/>
    </row>
    <row r="981" spans="1:23" ht="15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8"/>
      <c r="U981" s="8"/>
      <c r="V981" s="8"/>
      <c r="W981" s="8"/>
    </row>
    <row r="982" spans="1:23" ht="15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8"/>
      <c r="U982" s="8"/>
      <c r="V982" s="8"/>
      <c r="W982" s="8"/>
    </row>
    <row r="983" spans="1:23" ht="15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8"/>
      <c r="U983" s="8"/>
      <c r="V983" s="8"/>
      <c r="W983" s="8"/>
    </row>
    <row r="984" spans="1:23" ht="15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8"/>
      <c r="U984" s="8"/>
      <c r="V984" s="8"/>
      <c r="W984" s="8"/>
    </row>
    <row r="985" spans="1:23" ht="15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8"/>
      <c r="U985" s="8"/>
      <c r="V985" s="8"/>
      <c r="W985" s="8"/>
    </row>
    <row r="986" spans="1:23" ht="15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8"/>
      <c r="U986" s="8"/>
      <c r="V986" s="8"/>
      <c r="W986" s="8"/>
    </row>
    <row r="987" spans="1:23" ht="15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8"/>
      <c r="U987" s="8"/>
      <c r="V987" s="8"/>
      <c r="W987" s="8"/>
    </row>
    <row r="988" spans="1:23" ht="15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8"/>
      <c r="U988" s="8"/>
      <c r="V988" s="8"/>
      <c r="W988" s="8"/>
    </row>
    <row r="989" spans="1:23" ht="15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8"/>
      <c r="U989" s="8"/>
      <c r="V989" s="8"/>
      <c r="W989" s="8"/>
    </row>
    <row r="990" spans="1:23" ht="15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8"/>
      <c r="U990" s="8"/>
      <c r="V990" s="8"/>
      <c r="W990" s="8"/>
    </row>
    <row r="991" spans="1:23" ht="15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8"/>
      <c r="U991" s="8"/>
      <c r="V991" s="8"/>
      <c r="W991" s="8"/>
    </row>
    <row r="992" spans="1:23" ht="15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8"/>
      <c r="U992" s="8"/>
      <c r="V992" s="8"/>
      <c r="W992" s="8"/>
    </row>
    <row r="993" spans="1:23" ht="15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8"/>
      <c r="U993" s="8"/>
      <c r="V993" s="8"/>
      <c r="W993" s="8"/>
    </row>
    <row r="994" spans="1:23" ht="15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8"/>
      <c r="U994" s="8"/>
      <c r="V994" s="8"/>
      <c r="W994" s="8"/>
    </row>
    <row r="995" spans="1:23" ht="15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8"/>
      <c r="U995" s="8"/>
      <c r="V995" s="8"/>
      <c r="W995" s="8"/>
    </row>
    <row r="996" spans="1:23" ht="15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8"/>
      <c r="U996" s="8"/>
      <c r="V996" s="8"/>
      <c r="W996" s="8"/>
    </row>
    <row r="997" spans="1:23" ht="15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8"/>
      <c r="U997" s="8"/>
      <c r="V997" s="8"/>
      <c r="W997" s="8"/>
    </row>
    <row r="998" spans="1:23" ht="15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8"/>
      <c r="U998" s="8"/>
      <c r="V998" s="8"/>
      <c r="W998" s="8"/>
    </row>
    <row r="999" spans="1:23" ht="15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8"/>
      <c r="U999" s="8"/>
      <c r="V999" s="8"/>
      <c r="W999" s="8"/>
    </row>
    <row r="1000" spans="1:23" ht="15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8"/>
      <c r="U1000" s="8"/>
      <c r="V1000" s="8"/>
      <c r="W1000" s="8"/>
    </row>
    <row r="1001" spans="1:23" ht="15.75" customHeight="1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8"/>
      <c r="U1001" s="8"/>
      <c r="V1001" s="8"/>
      <c r="W1001" s="8"/>
    </row>
    <row r="1002" spans="1:23" ht="15.75" customHeight="1" x14ac:dyDescent="0.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8"/>
      <c r="U1002" s="8"/>
      <c r="V1002" s="8"/>
      <c r="W1002" s="8"/>
    </row>
    <row r="1003" spans="1:23" ht="15.75" customHeight="1" x14ac:dyDescent="0.2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8"/>
      <c r="U1003" s="8"/>
      <c r="V1003" s="8"/>
      <c r="W1003" s="8"/>
    </row>
    <row r="1004" spans="1:23" ht="15.75" customHeight="1" x14ac:dyDescent="0.2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8"/>
      <c r="U1004" s="8"/>
      <c r="V1004" s="8"/>
      <c r="W1004" s="8"/>
    </row>
    <row r="1005" spans="1:23" ht="15.75" customHeight="1" x14ac:dyDescent="0.2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8"/>
      <c r="U1005" s="8"/>
      <c r="V1005" s="8"/>
      <c r="W1005" s="8"/>
    </row>
    <row r="1006" spans="1:23" ht="15.75" customHeight="1" x14ac:dyDescent="0.2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8"/>
      <c r="U1006" s="8"/>
      <c r="V1006" s="8"/>
      <c r="W1006" s="8"/>
    </row>
    <row r="1007" spans="1:23" ht="15.75" customHeight="1" x14ac:dyDescent="0.2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8"/>
      <c r="U1007" s="8"/>
      <c r="V1007" s="8"/>
      <c r="W1007" s="8"/>
    </row>
    <row r="1008" spans="1:23" ht="15.75" customHeight="1" x14ac:dyDescent="0.2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8"/>
      <c r="U1008" s="8"/>
      <c r="V1008" s="8"/>
      <c r="W1008" s="8"/>
    </row>
    <row r="1009" spans="1:23" ht="15.75" customHeight="1" x14ac:dyDescent="0.2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8"/>
      <c r="U1009" s="8"/>
      <c r="V1009" s="8"/>
      <c r="W1009" s="8"/>
    </row>
    <row r="1010" spans="1:23" ht="15.75" customHeight="1" x14ac:dyDescent="0.2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8"/>
      <c r="U1010" s="8"/>
      <c r="V1010" s="8"/>
      <c r="W1010" s="8"/>
    </row>
    <row r="1011" spans="1:23" ht="15.75" customHeight="1" x14ac:dyDescent="0.2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8"/>
      <c r="U1011" s="8"/>
      <c r="V1011" s="8"/>
      <c r="W1011" s="8"/>
    </row>
    <row r="1012" spans="1:23" ht="15.75" customHeight="1" x14ac:dyDescent="0.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8"/>
      <c r="U1012" s="8"/>
      <c r="V1012" s="8"/>
      <c r="W1012" s="8"/>
    </row>
    <row r="1013" spans="1:23" ht="15.75" customHeight="1" x14ac:dyDescent="0.2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8"/>
      <c r="U1013" s="8"/>
      <c r="V1013" s="8"/>
      <c r="W1013" s="8"/>
    </row>
    <row r="1014" spans="1:23" ht="15.75" customHeight="1" x14ac:dyDescent="0.2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8"/>
      <c r="U1014" s="8"/>
      <c r="V1014" s="8"/>
      <c r="W1014" s="8"/>
    </row>
    <row r="1015" spans="1:23" ht="15.75" customHeight="1" x14ac:dyDescent="0.2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8"/>
      <c r="U1015" s="8"/>
      <c r="V1015" s="8"/>
      <c r="W1015" s="8"/>
    </row>
    <row r="1016" spans="1:23" ht="15.75" customHeight="1" x14ac:dyDescent="0.2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8"/>
      <c r="U1016" s="8"/>
      <c r="V1016" s="8"/>
      <c r="W1016" s="8"/>
    </row>
    <row r="1017" spans="1:23" ht="15.75" customHeight="1" x14ac:dyDescent="0.2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8"/>
      <c r="U1017" s="8"/>
      <c r="V1017" s="8"/>
      <c r="W1017" s="8"/>
    </row>
    <row r="1018" spans="1:23" ht="15.75" customHeight="1" x14ac:dyDescent="0.2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8"/>
      <c r="U1018" s="8"/>
      <c r="V1018" s="8"/>
      <c r="W1018" s="8"/>
    </row>
    <row r="1019" spans="1:23" ht="15.75" customHeight="1" x14ac:dyDescent="0.2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8"/>
      <c r="U1019" s="8"/>
      <c r="V1019" s="8"/>
      <c r="W1019" s="8"/>
    </row>
    <row r="1020" spans="1:23" ht="15.75" customHeight="1" x14ac:dyDescent="0.2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8"/>
      <c r="U1020" s="8"/>
      <c r="V1020" s="8"/>
      <c r="W1020" s="8"/>
    </row>
    <row r="1021" spans="1:23" ht="15.75" customHeight="1" x14ac:dyDescent="0.2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8"/>
      <c r="U1021" s="8"/>
      <c r="V1021" s="8"/>
      <c r="W1021" s="8"/>
    </row>
    <row r="1022" spans="1:23" ht="15.75" customHeight="1" x14ac:dyDescent="0.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8"/>
      <c r="U1022" s="8"/>
      <c r="V1022" s="8"/>
      <c r="W1022" s="8"/>
    </row>
    <row r="1023" spans="1:23" ht="15.75" customHeight="1" x14ac:dyDescent="0.2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8"/>
      <c r="U1023" s="8"/>
      <c r="V1023" s="8"/>
      <c r="W1023" s="8"/>
    </row>
    <row r="1024" spans="1:23" ht="15.75" customHeight="1" x14ac:dyDescent="0.2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8"/>
      <c r="U1024" s="8"/>
      <c r="V1024" s="8"/>
      <c r="W1024" s="8"/>
    </row>
    <row r="1025" spans="1:23" ht="15.75" customHeight="1" x14ac:dyDescent="0.2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8"/>
      <c r="U1025" s="8"/>
      <c r="V1025" s="8"/>
      <c r="W1025" s="8"/>
    </row>
    <row r="1026" spans="1:23" ht="15.75" customHeight="1" x14ac:dyDescent="0.2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8"/>
      <c r="U1026" s="8"/>
      <c r="V1026" s="8"/>
      <c r="W1026" s="8"/>
    </row>
    <row r="1027" spans="1:23" ht="15.75" customHeight="1" x14ac:dyDescent="0.2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8"/>
      <c r="U1027" s="8"/>
      <c r="V1027" s="8"/>
      <c r="W1027" s="8"/>
    </row>
    <row r="1028" spans="1:23" ht="15.75" customHeight="1" x14ac:dyDescent="0.2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8"/>
      <c r="U1028" s="8"/>
      <c r="V1028" s="8"/>
      <c r="W1028" s="8"/>
    </row>
    <row r="1029" spans="1:23" ht="15.75" customHeight="1" x14ac:dyDescent="0.2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8"/>
      <c r="U1029" s="8"/>
      <c r="V1029" s="8"/>
      <c r="W1029" s="8"/>
    </row>
    <row r="1030" spans="1:23" ht="15.75" customHeight="1" x14ac:dyDescent="0.2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8"/>
      <c r="U1030" s="8"/>
      <c r="V1030" s="8"/>
      <c r="W1030" s="8"/>
    </row>
    <row r="1031" spans="1:23" ht="15.75" customHeight="1" x14ac:dyDescent="0.2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8"/>
      <c r="U1031" s="8"/>
      <c r="V1031" s="8"/>
      <c r="W1031" s="8"/>
    </row>
    <row r="1032" spans="1:23" ht="15.75" customHeight="1" x14ac:dyDescent="0.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8"/>
      <c r="U1032" s="8"/>
      <c r="V1032" s="8"/>
      <c r="W1032" s="8"/>
    </row>
    <row r="1033" spans="1:23" ht="15.75" customHeight="1" x14ac:dyDescent="0.2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8"/>
      <c r="U1033" s="8"/>
      <c r="V1033" s="8"/>
      <c r="W1033" s="8"/>
    </row>
    <row r="1034" spans="1:23" ht="15.75" customHeight="1" x14ac:dyDescent="0.2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8"/>
      <c r="U1034" s="8"/>
      <c r="V1034" s="8"/>
      <c r="W1034" s="8"/>
    </row>
    <row r="1035" spans="1:23" ht="15.75" customHeight="1" x14ac:dyDescent="0.2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8"/>
      <c r="U1035" s="8"/>
      <c r="V1035" s="8"/>
      <c r="W1035" s="8"/>
    </row>
    <row r="1036" spans="1:23" ht="15.75" customHeight="1" x14ac:dyDescent="0.2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8"/>
      <c r="U1036" s="8"/>
      <c r="V1036" s="8"/>
      <c r="W1036" s="8"/>
    </row>
    <row r="1037" spans="1:23" ht="15.75" customHeight="1" x14ac:dyDescent="0.2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8"/>
      <c r="U1037" s="8"/>
      <c r="V1037" s="8"/>
      <c r="W1037" s="8"/>
    </row>
    <row r="1038" spans="1:23" ht="15.75" customHeight="1" x14ac:dyDescent="0.2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8"/>
      <c r="U1038" s="8"/>
      <c r="V1038" s="8"/>
      <c r="W1038" s="8"/>
    </row>
    <row r="1039" spans="1:23" ht="15.75" customHeight="1" x14ac:dyDescent="0.2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8"/>
      <c r="U1039" s="8"/>
      <c r="V1039" s="8"/>
      <c r="W1039" s="8"/>
    </row>
    <row r="1040" spans="1:23" ht="15.75" customHeight="1" x14ac:dyDescent="0.2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8"/>
      <c r="U1040" s="8"/>
      <c r="V1040" s="8"/>
      <c r="W1040" s="8"/>
    </row>
    <row r="1041" spans="1:23" ht="15.75" customHeight="1" x14ac:dyDescent="0.2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8"/>
      <c r="U1041" s="8"/>
      <c r="V1041" s="8"/>
      <c r="W1041" s="8"/>
    </row>
    <row r="1042" spans="1:23" ht="15.75" customHeight="1" x14ac:dyDescent="0.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8"/>
      <c r="U1042" s="8"/>
      <c r="V1042" s="8"/>
      <c r="W1042" s="8"/>
    </row>
    <row r="1043" spans="1:23" ht="15.75" customHeight="1" x14ac:dyDescent="0.2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8"/>
      <c r="U1043" s="8"/>
      <c r="V1043" s="8"/>
      <c r="W1043" s="8"/>
    </row>
    <row r="1044" spans="1:23" ht="15.75" customHeight="1" x14ac:dyDescent="0.2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8"/>
      <c r="U1044" s="8"/>
      <c r="V1044" s="8"/>
      <c r="W1044" s="8"/>
    </row>
    <row r="1045" spans="1:23" ht="15.75" customHeight="1" x14ac:dyDescent="0.2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8"/>
      <c r="U1045" s="8"/>
      <c r="V1045" s="8"/>
      <c r="W1045" s="8"/>
    </row>
    <row r="1046" spans="1:23" ht="15.75" customHeight="1" x14ac:dyDescent="0.2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8"/>
      <c r="U1046" s="8"/>
      <c r="V1046" s="8"/>
      <c r="W1046" s="8"/>
    </row>
    <row r="1047" spans="1:23" ht="15.75" customHeight="1" x14ac:dyDescent="0.2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8"/>
      <c r="U1047" s="8"/>
      <c r="V1047" s="8"/>
      <c r="W1047" s="8"/>
    </row>
    <row r="1048" spans="1:23" ht="15.75" customHeight="1" x14ac:dyDescent="0.2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8"/>
      <c r="U1048" s="8"/>
      <c r="V1048" s="8"/>
      <c r="W1048" s="8"/>
    </row>
    <row r="1049" spans="1:23" ht="15.75" customHeight="1" x14ac:dyDescent="0.2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8"/>
      <c r="U1049" s="8"/>
      <c r="V1049" s="8"/>
      <c r="W1049" s="8"/>
    </row>
    <row r="1050" spans="1:23" ht="15.75" customHeight="1" x14ac:dyDescent="0.2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8"/>
      <c r="U1050" s="8"/>
      <c r="V1050" s="8"/>
      <c r="W1050" s="8"/>
    </row>
    <row r="1051" spans="1:23" ht="15.75" customHeight="1" x14ac:dyDescent="0.2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8"/>
      <c r="U1051" s="8"/>
      <c r="V1051" s="8"/>
      <c r="W1051" s="8"/>
    </row>
    <row r="1052" spans="1:23" ht="15.75" customHeight="1" x14ac:dyDescent="0.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8"/>
      <c r="U1052" s="8"/>
      <c r="V1052" s="8"/>
      <c r="W1052" s="8"/>
    </row>
    <row r="1053" spans="1:23" ht="15.75" customHeight="1" x14ac:dyDescent="0.2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8"/>
      <c r="U1053" s="8"/>
      <c r="V1053" s="8"/>
      <c r="W1053" s="8"/>
    </row>
    <row r="1054" spans="1:23" ht="15.75" customHeight="1" x14ac:dyDescent="0.2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8"/>
      <c r="U1054" s="8"/>
      <c r="V1054" s="8"/>
      <c r="W1054" s="8"/>
    </row>
    <row r="1055" spans="1:23" ht="15.75" customHeight="1" x14ac:dyDescent="0.2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8"/>
      <c r="U1055" s="8"/>
      <c r="V1055" s="8"/>
      <c r="W1055" s="8"/>
    </row>
    <row r="1056" spans="1:23" ht="15.75" customHeight="1" x14ac:dyDescent="0.2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8"/>
      <c r="U1056" s="8"/>
      <c r="V1056" s="8"/>
      <c r="W1056" s="8"/>
    </row>
    <row r="1057" spans="1:23" ht="15.75" customHeight="1" x14ac:dyDescent="0.2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8"/>
      <c r="U1057" s="8"/>
      <c r="V1057" s="8"/>
      <c r="W1057" s="8"/>
    </row>
    <row r="1058" spans="1:23" ht="15.75" customHeight="1" x14ac:dyDescent="0.2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8"/>
      <c r="U1058" s="8"/>
      <c r="V1058" s="8"/>
      <c r="W1058" s="8"/>
    </row>
    <row r="1059" spans="1:23" ht="15.75" customHeight="1" x14ac:dyDescent="0.2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8"/>
      <c r="U1059" s="8"/>
      <c r="V1059" s="8"/>
      <c r="W1059" s="8"/>
    </row>
    <row r="1060" spans="1:23" ht="15.75" customHeight="1" x14ac:dyDescent="0.2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8"/>
      <c r="U1060" s="8"/>
      <c r="V1060" s="8"/>
      <c r="W1060" s="8"/>
    </row>
    <row r="1061" spans="1:23" ht="15.75" customHeight="1" x14ac:dyDescent="0.2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8"/>
      <c r="U1061" s="8"/>
      <c r="V1061" s="8"/>
      <c r="W1061" s="8"/>
    </row>
    <row r="1062" spans="1:23" ht="15.75" customHeight="1" x14ac:dyDescent="0.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8"/>
      <c r="U1062" s="8"/>
      <c r="V1062" s="8"/>
      <c r="W1062" s="8"/>
    </row>
    <row r="1063" spans="1:23" ht="15.75" customHeight="1" x14ac:dyDescent="0.2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8"/>
      <c r="U1063" s="8"/>
      <c r="V1063" s="8"/>
      <c r="W1063" s="8"/>
    </row>
    <row r="1064" spans="1:23" ht="15.75" customHeight="1" x14ac:dyDescent="0.2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8"/>
      <c r="U1064" s="8"/>
      <c r="V1064" s="8"/>
      <c r="W1064" s="8"/>
    </row>
    <row r="1065" spans="1:23" ht="15.75" customHeight="1" x14ac:dyDescent="0.2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8"/>
      <c r="U1065" s="8"/>
      <c r="V1065" s="8"/>
      <c r="W1065" s="8"/>
    </row>
    <row r="1066" spans="1:23" ht="15.75" customHeight="1" x14ac:dyDescent="0.2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8"/>
      <c r="U1066" s="8"/>
      <c r="V1066" s="8"/>
      <c r="W1066" s="8"/>
    </row>
    <row r="1067" spans="1:23" ht="15.75" customHeight="1" x14ac:dyDescent="0.2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8"/>
      <c r="U1067" s="8"/>
      <c r="V1067" s="8"/>
      <c r="W1067" s="8"/>
    </row>
    <row r="1068" spans="1:23" ht="15.75" customHeight="1" x14ac:dyDescent="0.2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8"/>
      <c r="U1068" s="8"/>
      <c r="V1068" s="8"/>
      <c r="W1068" s="8"/>
    </row>
    <row r="1069" spans="1:23" ht="15.75" customHeight="1" x14ac:dyDescent="0.2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8"/>
      <c r="U1069" s="8"/>
      <c r="V1069" s="8"/>
      <c r="W1069" s="8"/>
    </row>
    <row r="1070" spans="1:23" ht="15.75" customHeight="1" x14ac:dyDescent="0.2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8"/>
      <c r="U1070" s="8"/>
      <c r="V1070" s="8"/>
      <c r="W1070" s="8"/>
    </row>
    <row r="1071" spans="1:23" ht="15.75" customHeight="1" x14ac:dyDescent="0.2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8"/>
      <c r="U1071" s="8"/>
      <c r="V1071" s="8"/>
      <c r="W1071" s="8"/>
    </row>
    <row r="1072" spans="1:23" ht="15.75" customHeight="1" x14ac:dyDescent="0.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8"/>
      <c r="U1072" s="8"/>
      <c r="V1072" s="8"/>
      <c r="W1072" s="8"/>
    </row>
  </sheetData>
  <mergeCells count="2">
    <mergeCell ref="G1:J1"/>
    <mergeCell ref="K1:O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6663-585D-C949-A92E-2A94D2D867BD}">
  <dimension ref="A1:L24"/>
  <sheetViews>
    <sheetView showGridLines="0" zoomScale="75" workbookViewId="0">
      <selection activeCell="M14" sqref="M14"/>
    </sheetView>
  </sheetViews>
  <sheetFormatPr baseColWidth="10" defaultRowHeight="16" x14ac:dyDescent="0.2"/>
  <cols>
    <col min="1" max="1" width="33.6640625" customWidth="1"/>
    <col min="2" max="6" width="12.6640625" bestFit="1" customWidth="1"/>
    <col min="8" max="8" width="11.6640625" customWidth="1"/>
  </cols>
  <sheetData>
    <row r="1" spans="1:12" ht="29" customHeight="1" x14ac:dyDescent="0.2">
      <c r="A1" s="109" t="s">
        <v>289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288</v>
      </c>
      <c r="G1" s="109" t="s">
        <v>4</v>
      </c>
      <c r="H1" s="109" t="s">
        <v>5</v>
      </c>
      <c r="I1" s="109" t="s">
        <v>6</v>
      </c>
      <c r="J1" s="109" t="s">
        <v>7</v>
      </c>
    </row>
    <row r="2" spans="1:12" x14ac:dyDescent="0.2">
      <c r="B2" s="106"/>
      <c r="C2" s="106"/>
      <c r="D2" s="106"/>
      <c r="E2" s="106"/>
    </row>
    <row r="3" spans="1:12" x14ac:dyDescent="0.2">
      <c r="A3" s="41" t="s">
        <v>114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x14ac:dyDescent="0.2">
      <c r="A4" s="107" t="s">
        <v>78</v>
      </c>
      <c r="B4" s="37"/>
      <c r="C4" s="37"/>
      <c r="D4" s="37"/>
      <c r="E4" s="37"/>
      <c r="F4" s="37"/>
      <c r="G4" s="37"/>
      <c r="H4" s="37"/>
      <c r="I4" s="37"/>
      <c r="J4" s="37"/>
    </row>
    <row r="6" spans="1:12" x14ac:dyDescent="0.2">
      <c r="A6" s="106" t="s">
        <v>286</v>
      </c>
      <c r="B6" s="142" cm="1">
        <f t="array" ref="B6">INDEX('Income Statement'!$B$2:$E$2,6-COLUMN())</f>
        <v>67418</v>
      </c>
      <c r="C6" s="142" cm="1">
        <f t="array" ref="C6">INDEX('Income Statement'!$B$2:$E$2,6-COLUMN())</f>
        <v>82722</v>
      </c>
      <c r="D6" s="142" cm="1">
        <f t="array" ref="D6">INDEX('Income Statement'!$B$2:$E$2,6-COLUMN())</f>
        <v>88898</v>
      </c>
      <c r="E6" s="142" cm="1">
        <f t="array" ref="E6">INDEX('Income Statement'!$B$2:$E$2,6-COLUMN())</f>
        <v>91361</v>
      </c>
      <c r="F6" s="144">
        <f>E6*(1+CHOOSE('DCF Valuation'!$I$33,'Forecasted Assumptions'!F7,'Forecasted Assumptions'!F8,'Forecasted Assumptions'!F9))</f>
        <v>94101.83</v>
      </c>
      <c r="G6" s="144">
        <f>F6*(1+CHOOSE('DCF Valuation'!$I$33,'Forecasted Assumptions'!G7,'Forecasted Assumptions'!G8,'Forecasted Assumptions'!G9))</f>
        <v>97865.903200000001</v>
      </c>
      <c r="H6" s="144">
        <f>G6*(1+CHOOSE('DCF Valuation'!$I$33,'Forecasted Assumptions'!H7,'Forecasted Assumptions'!H8,'Forecasted Assumptions'!H9))</f>
        <v>101780.539328</v>
      </c>
      <c r="I6" s="144">
        <f>H6*(1+CHOOSE('DCF Valuation'!$I$33,'Forecasted Assumptions'!I7,'Forecasted Assumptions'!I8,'Forecasted Assumptions'!I9))</f>
        <v>105342.85820447998</v>
      </c>
      <c r="J6" s="144">
        <f>I6*(1+CHOOSE('DCF Valuation'!$I$33,'Forecasted Assumptions'!J7,'Forecasted Assumptions'!J8,'Forecasted Assumptions'!J9))</f>
        <v>107976.42965959197</v>
      </c>
      <c r="L6" s="227"/>
    </row>
    <row r="7" spans="1:12" x14ac:dyDescent="0.2">
      <c r="A7" s="106" t="s">
        <v>287</v>
      </c>
      <c r="B7" s="146" cm="1">
        <f t="array" ref="B7">INDEX('Income Statement'!$B$6:$E$6,6-COLUMN())</f>
        <v>45131</v>
      </c>
      <c r="C7" s="146" cm="1">
        <f t="array" ref="C7">INDEX('Income Statement'!$B$6:$E$6,6-COLUMN())</f>
        <v>54401</v>
      </c>
      <c r="D7" s="146" cm="1">
        <f t="array" ref="D7">INDEX('Income Statement'!$B$6:$E$6,6-COLUMN())</f>
        <v>59201</v>
      </c>
      <c r="E7" s="146" cm="1">
        <f t="array" ref="E7">INDEX('Income Statement'!$B$6:$E$6,6-COLUMN())</f>
        <v>58698</v>
      </c>
      <c r="F7" s="235">
        <f>F6*CHOOSE('DCF Valuation'!$I$33, 'Forecasted Assumptions'!F12, 'Forecasted Assumptions'!F13, 'Forecasted Assumptions'!F14)</f>
        <v>61166.1895</v>
      </c>
      <c r="G7" s="235">
        <f>G6*CHOOSE('DCF Valuation'!$I$33, 'Forecasted Assumptions'!G12, 'Forecasted Assumptions'!G13, 'Forecasted Assumptions'!G14)</f>
        <v>61655.519015999998</v>
      </c>
      <c r="H7" s="235">
        <f>H6*CHOOSE('DCF Valuation'!$I$33, 'Forecasted Assumptions'!H12, 'Forecasted Assumptions'!H13, 'Forecasted Assumptions'!H14)</f>
        <v>63103.93438336</v>
      </c>
      <c r="I7" s="235">
        <f>I6*CHOOSE('DCF Valuation'!$I$33, 'Forecasted Assumptions'!I12, 'Forecasted Assumptions'!I13, 'Forecasted Assumptions'!I14)</f>
        <v>65312.572086777589</v>
      </c>
      <c r="J7" s="235">
        <f>J6*CHOOSE('DCF Valuation'!$I$33, 'Forecasted Assumptions'!J12, 'Forecasted Assumptions'!J13, 'Forecasted Assumptions'!J14)</f>
        <v>64785.857795755182</v>
      </c>
    </row>
    <row r="8" spans="1:12" x14ac:dyDescent="0.2">
      <c r="A8" s="32" t="s">
        <v>8</v>
      </c>
      <c r="B8" s="148">
        <f>B6-B7</f>
        <v>22287</v>
      </c>
      <c r="C8" s="148">
        <f t="shared" ref="C8:D8" si="0">C6-C7</f>
        <v>28321</v>
      </c>
      <c r="D8" s="148">
        <f t="shared" si="0"/>
        <v>29697</v>
      </c>
      <c r="E8" s="148">
        <f>E6-E7</f>
        <v>32663</v>
      </c>
      <c r="F8" s="179">
        <f>F6-F7</f>
        <v>32935.640500000001</v>
      </c>
      <c r="G8" s="179">
        <f t="shared" ref="G8:J8" si="1">G6-G7</f>
        <v>36210.384184000002</v>
      </c>
      <c r="H8" s="179">
        <f t="shared" si="1"/>
        <v>38676.604944639999</v>
      </c>
      <c r="I8" s="179">
        <f t="shared" si="1"/>
        <v>40030.286117702395</v>
      </c>
      <c r="J8" s="179">
        <f t="shared" si="1"/>
        <v>43190.571863836791</v>
      </c>
    </row>
    <row r="9" spans="1:12" x14ac:dyDescent="0.2">
      <c r="B9" s="149"/>
      <c r="C9" s="149"/>
      <c r="D9" s="149"/>
      <c r="E9" s="149"/>
      <c r="F9" s="150"/>
      <c r="G9" s="150"/>
      <c r="H9" s="150"/>
      <c r="I9" s="150"/>
      <c r="J9" s="150"/>
    </row>
    <row r="10" spans="1:12" x14ac:dyDescent="0.2">
      <c r="A10" s="3" t="s">
        <v>125</v>
      </c>
      <c r="B10" s="149"/>
      <c r="C10" s="149"/>
      <c r="D10" s="149"/>
      <c r="E10" s="149"/>
      <c r="F10" s="150"/>
      <c r="G10" s="150"/>
      <c r="H10" s="150"/>
      <c r="I10" s="150"/>
      <c r="J10" s="150"/>
    </row>
    <row r="11" spans="1:12" ht="19" customHeight="1" x14ac:dyDescent="0.2">
      <c r="A11" s="127" t="s">
        <v>300</v>
      </c>
      <c r="B11" s="151" cm="1">
        <f t="array" ref="B11">-INDEX('Income Statement'!$B$9:$E$9,6-COLUMN())</f>
        <v>-13517</v>
      </c>
      <c r="C11" s="151" cm="1">
        <f t="array" ref="C11">-INDEX('Income Statement'!$B$9:$E$9,6-COLUMN())</f>
        <v>-16388</v>
      </c>
      <c r="D11" s="151" cm="1">
        <f t="array" ref="D11">-INDEX('Income Statement'!$B$9:$E$9,6-COLUMN())</f>
        <v>-15336</v>
      </c>
      <c r="E11" s="151" cm="1">
        <f t="array" ref="E11">-INDEX('Income Statement'!$B$9:$E$9,6-COLUMN())</f>
        <v>-15759</v>
      </c>
      <c r="F11" s="147">
        <f>-F6*CHOOSE('DCF Valuation'!$I$33, 'Forecasted Assumptions'!F17, 'Forecasted Assumptions'!F18, 'Forecasted Assumptions'!F19)</f>
        <v>-16231.77</v>
      </c>
      <c r="G11" s="147">
        <f>-G6*CHOOSE('DCF Valuation'!$I$33, 'Forecasted Assumptions'!G17, 'Forecasted Assumptions'!G18, 'Forecasted Assumptions'!G19)</f>
        <v>-16881.040799999999</v>
      </c>
      <c r="H11" s="147">
        <f>-H6*CHOOSE('DCF Valuation'!$I$33, 'Forecasted Assumptions'!H17, 'Forecasted Assumptions'!H18, 'Forecasted Assumptions'!H19)</f>
        <v>-17302.691685760001</v>
      </c>
      <c r="I11" s="147">
        <f>-I6*CHOOSE('DCF Valuation'!$I$33, 'Forecasted Assumptions'!I17, 'Forecasted Assumptions'!I18, 'Forecasted Assumptions'!I19)</f>
        <v>-17908.285894761597</v>
      </c>
      <c r="J11" s="147">
        <f>-J6*CHOOSE('DCF Valuation'!$I$33, 'Forecasted Assumptions'!J17, 'Forecasted Assumptions'!J18, 'Forecasted Assumptions'!J19)</f>
        <v>-18355.993042130638</v>
      </c>
    </row>
    <row r="12" spans="1:12" x14ac:dyDescent="0.2">
      <c r="A12" s="128" t="s">
        <v>201</v>
      </c>
      <c r="B12" s="151" t="str" cm="1">
        <f t="array" ref="B12">INDEX('Income Statement'!$B$11:$E$11,6-COLUMN())</f>
        <v>--</v>
      </c>
      <c r="C12" s="151" t="str" cm="1">
        <f t="array" ref="C12">INDEX('Income Statement'!$B$11:$E$11,6-COLUMN())</f>
        <v>--</v>
      </c>
      <c r="D12" s="151" t="str" cm="1">
        <f t="array" ref="D12">INDEX('Income Statement'!$B$11:$E$11,6-COLUMN())</f>
        <v>--</v>
      </c>
      <c r="E12" s="151" t="str" cm="1">
        <f t="array" ref="E12">INDEX('Income Statement'!$B$11:$E$11,6-COLUMN())</f>
        <v>--</v>
      </c>
      <c r="F12" s="177">
        <f>0</f>
        <v>0</v>
      </c>
      <c r="G12" s="177">
        <f>0</f>
        <v>0</v>
      </c>
      <c r="H12" s="177">
        <f>0</f>
        <v>0</v>
      </c>
      <c r="I12" s="177">
        <f>0</f>
        <v>0</v>
      </c>
      <c r="J12" s="177">
        <f>0</f>
        <v>0</v>
      </c>
    </row>
    <row r="13" spans="1:12" x14ac:dyDescent="0.2">
      <c r="A13" s="128" t="s">
        <v>301</v>
      </c>
      <c r="B13" s="151" cm="1">
        <f t="array" ref="B13">-INDEX('Income Statement'!$B$12:$E$12,6-COLUMN())</f>
        <v>-5111</v>
      </c>
      <c r="C13" s="151" cm="1">
        <f t="array" ref="C13">-INDEX('Income Statement'!$B$12:$E$12,6-COLUMN())</f>
        <v>-5163</v>
      </c>
      <c r="D13" s="151" cm="1">
        <f t="array" ref="D13">-INDEX('Income Statement'!$B$12:$E$12,6-COLUMN())</f>
        <v>-5369</v>
      </c>
      <c r="E13" s="151" cm="1">
        <f t="array" ref="E13">-INDEX('Income Statement'!$B$12:$E$12,6-COLUMN())</f>
        <v>-4990</v>
      </c>
      <c r="F13" s="147">
        <f>-F6*CHOOSE('DCF Valuation'!$I$33, 'Forecasted Assumptions'!F22, 'Forecasted Assumptions'!F23, 'Forecasted Assumptions'!F24)</f>
        <v>-5139.7000000000007</v>
      </c>
      <c r="G13" s="147">
        <f>-G6*CHOOSE('DCF Valuation'!$I$33, 'Forecasted Assumptions'!G22, 'Forecasted Assumptions'!G23, 'Forecasted Assumptions'!G24)</f>
        <v>-5345.2880000000005</v>
      </c>
      <c r="H13" s="147">
        <f>-H6*CHOOSE('DCF Valuation'!$I$33, 'Forecasted Assumptions'!H22, 'Forecasted Assumptions'!H23, 'Forecasted Assumptions'!H24)</f>
        <v>-5559.0995200000007</v>
      </c>
      <c r="I13" s="147">
        <f>-I6*CHOOSE('DCF Valuation'!$I$33, 'Forecasted Assumptions'!I22, 'Forecasted Assumptions'!I23, 'Forecasted Assumptions'!I24)</f>
        <v>-5753.6680031999995</v>
      </c>
      <c r="J13" s="147">
        <f>-J6*CHOOSE('DCF Valuation'!$I$33, 'Forecasted Assumptions'!J22, 'Forecasted Assumptions'!J23, 'Forecasted Assumptions'!J24)</f>
        <v>-5897.5097032799986</v>
      </c>
    </row>
    <row r="14" spans="1:12" x14ac:dyDescent="0.2">
      <c r="A14" s="106" t="s">
        <v>207</v>
      </c>
      <c r="B14" s="146" cm="1">
        <f t="array" ref="B14">-INDEX('Income Statement'!$B$17:$E$17,6-COLUMN())</f>
        <v>-528</v>
      </c>
      <c r="C14" s="146" cm="1">
        <f t="array" ref="C14">-INDEX('Income Statement'!$B$17:$E$17,6-COLUMN())</f>
        <v>-237</v>
      </c>
      <c r="D14" s="146" cm="1">
        <f t="array" ref="D14">-INDEX('Income Statement'!$B$17:$E$17,6-COLUMN())</f>
        <v>-3892</v>
      </c>
      <c r="E14" s="146" cm="1">
        <f t="array" ref="E14">-INDEX('Income Statement'!$B$17:$E$17,6-COLUMN())</f>
        <v>-3660</v>
      </c>
      <c r="F14" s="152">
        <v>0</v>
      </c>
      <c r="G14" s="152">
        <v>0</v>
      </c>
      <c r="H14" s="152">
        <v>0</v>
      </c>
      <c r="I14" s="152">
        <v>0</v>
      </c>
      <c r="J14" s="152">
        <v>0</v>
      </c>
    </row>
    <row r="15" spans="1:12" x14ac:dyDescent="0.2">
      <c r="A15" s="106" t="s">
        <v>302</v>
      </c>
      <c r="B15" s="153" t="s">
        <v>140</v>
      </c>
      <c r="C15" s="151" cm="1">
        <f t="array" ref="C15">-INDEX('Income Statement'!$B$18:$E$18,6-COLUMN())</f>
        <v>-4</v>
      </c>
      <c r="D15" s="151" cm="1">
        <f t="array" ref="D15">-INDEX('Income Statement'!$B$18:$E$18,6-COLUMN())</f>
        <v>-73</v>
      </c>
      <c r="E15" s="153" t="s">
        <v>140</v>
      </c>
      <c r="F15" s="178">
        <f>0</f>
        <v>0</v>
      </c>
      <c r="G15" s="178">
        <f>0</f>
        <v>0</v>
      </c>
      <c r="H15" s="178">
        <f>0</f>
        <v>0</v>
      </c>
      <c r="I15" s="178">
        <f>0</f>
        <v>0</v>
      </c>
      <c r="J15" s="178">
        <f>0</f>
        <v>0</v>
      </c>
    </row>
    <row r="16" spans="1:12" s="45" customFormat="1" x14ac:dyDescent="0.2">
      <c r="A16" s="32" t="s">
        <v>79</v>
      </c>
      <c r="B16" s="148">
        <f>B8+SUM(B11:B15)</f>
        <v>3131</v>
      </c>
      <c r="C16" s="148">
        <f t="shared" ref="C16:F16" si="2">C8+SUM(C11:C15)</f>
        <v>6529</v>
      </c>
      <c r="D16" s="148">
        <f t="shared" si="2"/>
        <v>5027</v>
      </c>
      <c r="E16" s="148">
        <f t="shared" si="2"/>
        <v>8254</v>
      </c>
      <c r="F16" s="148">
        <f t="shared" si="2"/>
        <v>11564.1705</v>
      </c>
      <c r="G16" s="148">
        <f t="shared" ref="G16:J16" si="3">G8+SUM(G11:G15)</f>
        <v>13984.055384000003</v>
      </c>
      <c r="H16" s="148">
        <f t="shared" si="3"/>
        <v>15814.813738879999</v>
      </c>
      <c r="I16" s="148">
        <f t="shared" si="3"/>
        <v>16368.332219740798</v>
      </c>
      <c r="J16" s="148">
        <f t="shared" si="3"/>
        <v>18937.069118426152</v>
      </c>
    </row>
    <row r="17" spans="1:10" s="45" customFormat="1" x14ac:dyDescent="0.2">
      <c r="B17" s="154"/>
      <c r="C17" s="154"/>
      <c r="D17" s="154"/>
      <c r="E17" s="154"/>
      <c r="F17" s="154"/>
      <c r="G17" s="154"/>
      <c r="H17" s="154"/>
      <c r="I17" s="154"/>
      <c r="J17" s="154"/>
    </row>
    <row r="18" spans="1:10" x14ac:dyDescent="0.2">
      <c r="A18" s="15" t="s">
        <v>9</v>
      </c>
      <c r="B18" s="151" cm="1">
        <f t="array" ref="B18">INDEX('Income Statement'!$B$21:$E$21,6-COLUMN())</f>
        <v>-1546</v>
      </c>
      <c r="C18" s="151" cm="1">
        <f t="array" ref="C18">INDEX('Income Statement'!$B$21:$E$21,6-COLUMN())</f>
        <v>-1549</v>
      </c>
      <c r="D18" s="151" cm="1">
        <f t="array" ref="D18">INDEX('Income Statement'!$B$21:$E$21,6-COLUMN())</f>
        <v>-1973</v>
      </c>
      <c r="E18" s="151" cm="1">
        <f t="array" ref="E18">INDEX('Income Statement'!$B$21:$E$21,6-COLUMN())</f>
        <v>-2070</v>
      </c>
      <c r="F18" s="147">
        <f>-(('Balance Sheet Forecast'!E33+'Balance Sheet Forecast'!F31)/2)*CHOOSE('DCF Valuation'!$I$33, 'Forecasted Assumptions'!F32, 'Forecasted Assumptions'!F33, 'Forecasted Assumptions'!F34)</f>
        <v>-594.44744999999978</v>
      </c>
      <c r="G18" s="147">
        <f>-(('Balance Sheet Forecast'!F33+'Balance Sheet Forecast'!G31)/2)*CHOOSE('DCF Valuation'!$I$33, 'Forecasted Assumptions'!G32, 'Forecasted Assumptions'!G33, 'Forecasted Assumptions'!G34)</f>
        <v>-604.74394799999982</v>
      </c>
      <c r="H18" s="147">
        <f>-(('Balance Sheet Forecast'!G33+'Balance Sheet Forecast'!H31)/2)*CHOOSE('DCF Valuation'!$I$33, 'Forecasted Assumptions'!H32, 'Forecasted Assumptions'!H33, 'Forecasted Assumptions'!H34)</f>
        <v>-615.45230591999962</v>
      </c>
      <c r="I18" s="147">
        <f>-(('Balance Sheet Forecast'!H33+'Balance Sheet Forecast'!I31)/2)*CHOOSE('DCF Valuation'!$I$33, 'Forecasted Assumptions'!I32, 'Forecasted Assumptions'!I33, 'Forecasted Assumptions'!I34)</f>
        <v>-625.19691162719971</v>
      </c>
      <c r="J18" s="147">
        <f>-(('Balance Sheet Forecast'!I33+'Balance Sheet Forecast'!J31)/2)*CHOOSE('DCF Valuation'!$I$33, 'Forecasted Assumptions'!J32, 'Forecasted Assumptions'!J33, 'Forecasted Assumptions'!J34)</f>
        <v>-632.40095941787956</v>
      </c>
    </row>
    <row r="19" spans="1:10" x14ac:dyDescent="0.2">
      <c r="A19" s="2" t="s">
        <v>10</v>
      </c>
      <c r="B19" s="151" cm="1">
        <f t="array" ref="B19">INDEX('Income Statement'!$B$23:$E$23,6-COLUMN())</f>
        <v>976</v>
      </c>
      <c r="C19" s="151" cm="1">
        <f t="array" ref="C19">INDEX('Income Statement'!$B$23:$E$23,6-COLUMN())</f>
        <v>243</v>
      </c>
      <c r="D19" s="151" cm="1">
        <f t="array" ref="D19">INDEX('Income Statement'!$B$23:$E$23,6-COLUMN())</f>
        <v>1375</v>
      </c>
      <c r="E19" s="151" cm="1">
        <f t="array" ref="E19">INDEX('Income Statement'!$B$23:$E$23,6-COLUMN())</f>
        <v>981</v>
      </c>
      <c r="F19" s="147">
        <f>(('Balance Sheet Forecast'!E6+'Balance Sheet Forecast'!F6)/2)*CHOOSE('DCF Valuation'!$I$33, 'Forecasted Assumptions'!F27, 'Forecasted Assumptions'!F28, 'Forecasted Assumptions'!F29)</f>
        <v>270.08999999999997</v>
      </c>
      <c r="G19" s="147">
        <f>(('Balance Sheet Forecast'!F6+'Balance Sheet Forecast'!G6)/2)*CHOOSE('DCF Valuation'!$I$33, 'Forecasted Assumptions'!G27, 'Forecasted Assumptions'!G28, 'Forecasted Assumptions'!G29)</f>
        <v>270.08999999999997</v>
      </c>
      <c r="H19" s="147">
        <f>(('Balance Sheet Forecast'!G6+'Balance Sheet Forecast'!H6)/2)*CHOOSE('DCF Valuation'!$I$33, 'Forecasted Assumptions'!H27, 'Forecasted Assumptions'!H28, 'Forecasted Assumptions'!H29)</f>
        <v>270.08999999999997</v>
      </c>
      <c r="I19" s="147">
        <f>(('Balance Sheet Forecast'!H6+'Balance Sheet Forecast'!I6)/2)*CHOOSE('DCF Valuation'!$I$33, 'Forecasted Assumptions'!I27, 'Forecasted Assumptions'!I28, 'Forecasted Assumptions'!I29)</f>
        <v>270.08999999999997</v>
      </c>
      <c r="J19" s="147">
        <f>(('Balance Sheet Forecast'!I6+'Balance Sheet Forecast'!J6)/2)*CHOOSE('DCF Valuation'!$I$33, 'Forecasted Assumptions'!J27, 'Forecasted Assumptions'!J28, 'Forecasted Assumptions'!J29)</f>
        <v>270.08999999999997</v>
      </c>
    </row>
    <row r="20" spans="1:10" x14ac:dyDescent="0.2">
      <c r="A20" s="15" t="s">
        <v>303</v>
      </c>
      <c r="B20" s="151" t="str" cm="1">
        <f t="array" ref="B20">INDEX('Income Statement'!$B$29:$E$29,6-COLUMN())</f>
        <v>--</v>
      </c>
      <c r="C20" s="151" cm="1">
        <f t="array" ref="C20">INDEX('Income Statement'!$B$29:$E$29,6-COLUMN())</f>
        <v>62</v>
      </c>
      <c r="D20" s="151" cm="1">
        <f t="array" ref="D20">INDEX('Income Statement'!$B$29:$E$29,6-COLUMN())</f>
        <v>340</v>
      </c>
      <c r="E20" s="151" cm="1">
        <f t="array" ref="E20">INDEX('Income Statement'!$B$29:$E$29,6-COLUMN())</f>
        <v>404</v>
      </c>
      <c r="F20" s="147">
        <v>0</v>
      </c>
      <c r="G20" s="147">
        <v>0</v>
      </c>
      <c r="H20" s="147">
        <v>0</v>
      </c>
      <c r="I20" s="147">
        <v>0</v>
      </c>
      <c r="J20" s="147">
        <v>0</v>
      </c>
    </row>
    <row r="21" spans="1:10" x14ac:dyDescent="0.2">
      <c r="A21" s="25" t="s">
        <v>11</v>
      </c>
      <c r="B21" s="148">
        <f>B16+(SUM(B18:B20))</f>
        <v>2561</v>
      </c>
      <c r="C21" s="148">
        <f t="shared" ref="C21:F21" si="4">C16+(SUM(C18:C20))</f>
        <v>5285</v>
      </c>
      <c r="D21" s="148">
        <f t="shared" si="4"/>
        <v>4769</v>
      </c>
      <c r="E21" s="148">
        <f t="shared" si="4"/>
        <v>7569</v>
      </c>
      <c r="F21" s="179">
        <f t="shared" si="4"/>
        <v>11239.813050000001</v>
      </c>
      <c r="G21" s="179">
        <f t="shared" ref="G21:J21" si="5">G16+(SUM(G18:G20))</f>
        <v>13649.401436000004</v>
      </c>
      <c r="H21" s="179">
        <f t="shared" si="5"/>
        <v>15469.451432959999</v>
      </c>
      <c r="I21" s="179">
        <f t="shared" si="5"/>
        <v>16013.225308113599</v>
      </c>
      <c r="J21" s="179">
        <f t="shared" si="5"/>
        <v>18574.758159008274</v>
      </c>
    </row>
    <row r="22" spans="1:10" x14ac:dyDescent="0.2">
      <c r="A22" s="2" t="s">
        <v>12</v>
      </c>
      <c r="B22" s="146" cm="1">
        <f t="array" ref="B22">-INDEX('Income Statement'!$B$31:$E$31,6-COLUMN())</f>
        <v>-25</v>
      </c>
      <c r="C22" s="146" cm="1">
        <f t="array" ref="C22">-INDEX('Income Statement'!$B$31:$E$31,6-COLUMN())</f>
        <v>-1732</v>
      </c>
      <c r="D22" s="146" cm="1">
        <f t="array" ref="D22">-INDEX('Income Statement'!$B$31:$E$31,6-COLUMN())</f>
        <v>-1379</v>
      </c>
      <c r="E22" s="146" cm="1">
        <f t="array" ref="E22">-INDEX('Income Statement'!$B$31:$E$31,6-COLUMN())</f>
        <v>-1796</v>
      </c>
      <c r="F22" s="147">
        <f>-F21*CHOOSE('DCF Valuation'!$I$33, 'Forecasted Assumptions'!F37, 'Forecasted Assumptions'!F38, 'Forecasted Assumptions'!F39)</f>
        <v>-2667.2076367650002</v>
      </c>
      <c r="G22" s="147">
        <f>-G21*CHOOSE('DCF Valuation'!$I$33, 'Forecasted Assumptions'!G37, 'Forecasted Assumptions'!G38, 'Forecasted Assumptions'!G39)</f>
        <v>-3239.0029607628012</v>
      </c>
      <c r="H22" s="147">
        <f>-H21*CHOOSE('DCF Valuation'!$I$33, 'Forecasted Assumptions'!H37, 'Forecasted Assumptions'!H38, 'Forecasted Assumptions'!H39)</f>
        <v>-3670.9008250414081</v>
      </c>
      <c r="I22" s="147">
        <f>-I21*CHOOSE('DCF Valuation'!$I$33, 'Forecasted Assumptions'!I37, 'Forecasted Assumptions'!I38, 'Forecasted Assumptions'!I39)</f>
        <v>-3799.9383656153573</v>
      </c>
      <c r="J22" s="147">
        <f>-J21*CHOOSE('DCF Valuation'!$I$33, 'Forecasted Assumptions'!J37, 'Forecasted Assumptions'!J38, 'Forecasted Assumptions'!J39)</f>
        <v>-4407.7901111326637</v>
      </c>
    </row>
    <row r="23" spans="1:10" ht="17" thickBot="1" x14ac:dyDescent="0.25">
      <c r="A23" s="108" t="s">
        <v>13</v>
      </c>
      <c r="B23" s="143">
        <f>SUM(B21:B22)</f>
        <v>2536</v>
      </c>
      <c r="C23" s="143">
        <f t="shared" ref="C23:F23" si="6">SUM(C21:C22)</f>
        <v>3553</v>
      </c>
      <c r="D23" s="143">
        <f t="shared" si="6"/>
        <v>3390</v>
      </c>
      <c r="E23" s="143">
        <f t="shared" si="6"/>
        <v>5773</v>
      </c>
      <c r="F23" s="158">
        <f t="shared" si="6"/>
        <v>8572.605413235</v>
      </c>
      <c r="G23" s="158">
        <f t="shared" ref="G23:J23" si="7">SUM(G21:G22)</f>
        <v>10410.398475237202</v>
      </c>
      <c r="H23" s="158">
        <f t="shared" si="7"/>
        <v>11798.550607918591</v>
      </c>
      <c r="I23" s="158">
        <f t="shared" si="7"/>
        <v>12213.286942498242</v>
      </c>
      <c r="J23" s="158">
        <f t="shared" si="7"/>
        <v>14166.968047875609</v>
      </c>
    </row>
    <row r="24" spans="1:10" ht="17" thickTop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BA54-213E-9943-81E3-82C22D7A0607}">
  <dimension ref="A1:J49"/>
  <sheetViews>
    <sheetView showGridLines="0" topLeftCell="A26" zoomScale="125" zoomScaleNormal="125" workbookViewId="0">
      <selection activeCell="K55" sqref="K55"/>
    </sheetView>
  </sheetViews>
  <sheetFormatPr baseColWidth="10" defaultRowHeight="16" x14ac:dyDescent="0.2"/>
  <cols>
    <col min="1" max="1" width="35" customWidth="1"/>
    <col min="2" max="5" width="12.6640625" bestFit="1" customWidth="1"/>
  </cols>
  <sheetData>
    <row r="1" spans="1:10" ht="27" customHeight="1" x14ac:dyDescent="0.2">
      <c r="A1" s="110" t="s">
        <v>290</v>
      </c>
      <c r="B1" s="110" t="s">
        <v>0</v>
      </c>
      <c r="C1" s="110" t="s">
        <v>1</v>
      </c>
      <c r="D1" s="110" t="s">
        <v>2</v>
      </c>
      <c r="E1" s="110" t="s">
        <v>3</v>
      </c>
      <c r="F1" s="110" t="s">
        <v>288</v>
      </c>
      <c r="G1" s="110" t="s">
        <v>4</v>
      </c>
      <c r="H1" s="110" t="s">
        <v>5</v>
      </c>
      <c r="I1" s="110" t="s">
        <v>6</v>
      </c>
      <c r="J1" s="110" t="s">
        <v>7</v>
      </c>
    </row>
    <row r="2" spans="1:10" x14ac:dyDescent="0.2">
      <c r="A2" s="111"/>
      <c r="B2" s="111"/>
      <c r="C2" s="111"/>
      <c r="D2" s="111"/>
      <c r="E2" s="111"/>
      <c r="F2" s="111"/>
      <c r="G2" s="111"/>
      <c r="H2" s="111"/>
      <c r="I2" s="111"/>
      <c r="J2" s="111"/>
    </row>
    <row r="3" spans="1:10" x14ac:dyDescent="0.2">
      <c r="A3" s="112" t="s">
        <v>291</v>
      </c>
      <c r="B3" s="113"/>
      <c r="C3" s="113"/>
      <c r="D3" s="113"/>
      <c r="E3" s="113"/>
      <c r="F3" s="113"/>
      <c r="G3" s="113"/>
      <c r="H3" s="113"/>
      <c r="I3" s="113"/>
      <c r="J3" s="113"/>
    </row>
    <row r="4" spans="1:10" x14ac:dyDescent="0.2">
      <c r="A4" s="114" t="s">
        <v>78</v>
      </c>
      <c r="B4" s="114"/>
      <c r="C4" s="114"/>
      <c r="D4" s="114"/>
      <c r="E4" s="114"/>
      <c r="F4" s="114"/>
      <c r="G4" s="114"/>
      <c r="H4" s="114"/>
      <c r="I4" s="114"/>
      <c r="J4" s="114"/>
    </row>
    <row r="5" spans="1:10" x14ac:dyDescent="0.2">
      <c r="B5" s="155"/>
      <c r="C5" s="155"/>
      <c r="D5" s="155"/>
      <c r="E5" s="155"/>
      <c r="F5" s="155"/>
      <c r="G5" s="155"/>
      <c r="H5" s="155"/>
      <c r="I5" s="155"/>
      <c r="J5" s="155"/>
    </row>
    <row r="6" spans="1:10" x14ac:dyDescent="0.2">
      <c r="A6" s="2" t="s">
        <v>14</v>
      </c>
      <c r="B6" s="156" cm="1">
        <f t="array" ref="B6">INDEX('Balance Sheet'!$B$4:$E$4,6-COLUMN())</f>
        <v>15959</v>
      </c>
      <c r="C6" s="156" cm="1">
        <f t="array" ref="C6">INDEX('Balance Sheet'!$B$4:$E$4,6-COLUMN())</f>
        <v>11615</v>
      </c>
      <c r="D6" s="156" cm="1">
        <f t="array" ref="D6">INDEX('Balance Sheet'!$B$4:$E$4,6-COLUMN())</f>
        <v>14182</v>
      </c>
      <c r="E6" s="156" cm="1">
        <f t="array" ref="E6">INDEX('Balance Sheet'!$B$4:$E$4,6-COLUMN())</f>
        <v>6002</v>
      </c>
      <c r="F6" s="157">
        <f>E6</f>
        <v>6002</v>
      </c>
      <c r="G6" s="157">
        <f t="shared" ref="G6:J6" si="0">F6</f>
        <v>6002</v>
      </c>
      <c r="H6" s="157">
        <f t="shared" si="0"/>
        <v>6002</v>
      </c>
      <c r="I6" s="157">
        <f t="shared" si="0"/>
        <v>6002</v>
      </c>
      <c r="J6" s="157">
        <f t="shared" si="0"/>
        <v>6002</v>
      </c>
    </row>
    <row r="7" spans="1:10" x14ac:dyDescent="0.2">
      <c r="A7" s="2" t="s">
        <v>15</v>
      </c>
      <c r="B7" s="160" cm="1">
        <f t="array" ref="B7">INDEX('Balance Sheet'!$B$10:$E$10,6-COLUMN())</f>
        <v>13367</v>
      </c>
      <c r="C7" s="160" cm="1">
        <f t="array" ref="C7">INDEX('Balance Sheet'!$B$10:$E$10,6-COLUMN())</f>
        <v>12652</v>
      </c>
      <c r="D7" s="160" cm="1">
        <f t="array" ref="D7">INDEX('Balance Sheet'!$B$10:$E$10,6-COLUMN())</f>
        <v>12330</v>
      </c>
      <c r="E7" s="160" cm="1">
        <f t="array" ref="E7">INDEX('Balance Sheet'!$B$10:$E$10,6-COLUMN())</f>
        <v>12729</v>
      </c>
      <c r="F7" s="242">
        <f>'Income Statement Forecast'!F6*CHOOSE('DCF Valuation'!$I$33, 'Forecasted Assumptions'!F44, 'Forecasted Assumptions'!F45, 'Forecasted Assumptions'!F46)</f>
        <v>13110.869999999999</v>
      </c>
      <c r="G7" s="242">
        <f>'Income Statement Forecast'!G6*CHOOSE('DCF Valuation'!$I$33, 'Forecasted Assumptions'!G44, 'Forecasted Assumptions'!G45, 'Forecasted Assumptions'!G46)</f>
        <v>13635.3048</v>
      </c>
      <c r="H7" s="242">
        <f>'Income Statement Forecast'!H6*CHOOSE('DCF Valuation'!$I$33, 'Forecasted Assumptions'!H44, 'Forecasted Assumptions'!H45, 'Forecasted Assumptions'!H46)</f>
        <v>14180.716992</v>
      </c>
      <c r="I7" s="242">
        <f>'Income Statement Forecast'!I6*CHOOSE('DCF Valuation'!$I$33, 'Forecasted Assumptions'!I44, 'Forecasted Assumptions'!I45, 'Forecasted Assumptions'!I46)</f>
        <v>14677.042086719997</v>
      </c>
      <c r="J7" s="242">
        <f>'Income Statement Forecast'!J6*CHOOSE('DCF Valuation'!$I$33, 'Forecasted Assumptions'!J44, 'Forecasted Assumptions'!J45, 'Forecasted Assumptions'!J46)</f>
        <v>15043.968138887994</v>
      </c>
    </row>
    <row r="8" spans="1:10" x14ac:dyDescent="0.2">
      <c r="A8" s="2" t="s">
        <v>16</v>
      </c>
      <c r="B8" s="160" cm="1">
        <f t="array" ref="B8">INDEX('Balance Sheet'!$B$12:$E$12,6-COLUMN())</f>
        <v>1331</v>
      </c>
      <c r="C8" s="160" cm="1">
        <f t="array" ref="C8">INDEX('Balance Sheet'!$B$12:$E$12,6-COLUMN())</f>
        <v>1742</v>
      </c>
      <c r="D8" s="160" cm="1">
        <f t="array" ref="D8">INDEX('Balance Sheet'!$B$12:$E$12,6-COLUMN())</f>
        <v>1963</v>
      </c>
      <c r="E8" s="160" cm="1">
        <f t="array" ref="E8">INDEX('Balance Sheet'!$B$12:$E$12,6-COLUMN())</f>
        <v>2022</v>
      </c>
      <c r="F8" s="161">
        <f>'Income Statement Forecast'!F6*CHOOSE('DCF Valuation'!$I$33, 'Forecasted Assumptions'!F49, 'Forecasted Assumptions'!F50, 'Forecasted Assumptions'!F51)</f>
        <v>2082.6600000000003</v>
      </c>
      <c r="G8" s="161">
        <f>'Income Statement Forecast'!G6*CHOOSE('DCF Valuation'!$I$33, 'Forecasted Assumptions'!G49, 'Forecasted Assumptions'!G50, 'Forecasted Assumptions'!G51)</f>
        <v>2165.9664000000002</v>
      </c>
      <c r="H8" s="161">
        <f>'Income Statement Forecast'!H6*CHOOSE('DCF Valuation'!$I$33, 'Forecasted Assumptions'!H49, 'Forecasted Assumptions'!H50, 'Forecasted Assumptions'!H51)</f>
        <v>2252.6050560000003</v>
      </c>
      <c r="I8" s="161">
        <f>'Income Statement Forecast'!I6*CHOOSE('DCF Valuation'!$I$33, 'Forecasted Assumptions'!I49, 'Forecasted Assumptions'!I50, 'Forecasted Assumptions'!I51)</f>
        <v>2331.4462329599996</v>
      </c>
      <c r="J8" s="161">
        <f>'Income Statement Forecast'!J6*CHOOSE('DCF Valuation'!$I$33, 'Forecasted Assumptions'!J49, 'Forecasted Assumptions'!J50, 'Forecasted Assumptions'!J51)</f>
        <v>2389.7323887839993</v>
      </c>
    </row>
    <row r="9" spans="1:10" x14ac:dyDescent="0.2">
      <c r="A9" s="2" t="s">
        <v>18</v>
      </c>
      <c r="B9" s="160">
        <v>0</v>
      </c>
      <c r="C9" s="160">
        <v>0</v>
      </c>
      <c r="D9" s="160">
        <v>0</v>
      </c>
      <c r="E9" s="160">
        <v>0</v>
      </c>
      <c r="F9" s="161">
        <f>0</f>
        <v>0</v>
      </c>
      <c r="G9" s="161">
        <f>0</f>
        <v>0</v>
      </c>
      <c r="H9" s="161">
        <f>0</f>
        <v>0</v>
      </c>
      <c r="I9" s="161">
        <f>0</f>
        <v>0</v>
      </c>
      <c r="J9" s="161">
        <f>0</f>
        <v>0</v>
      </c>
    </row>
    <row r="10" spans="1:10" x14ac:dyDescent="0.2">
      <c r="A10" s="15" t="s">
        <v>127</v>
      </c>
      <c r="B10" s="160" cm="1">
        <f t="array" ref="B10">INDEX('Balance Sheet'!$B$16:$E$16,6-COLUMN())</f>
        <v>3000</v>
      </c>
      <c r="C10" s="160" cm="1">
        <f t="array" ref="C10">INDEX('Balance Sheet'!$B$16:$E$16,6-COLUMN())</f>
        <v>3089</v>
      </c>
      <c r="D10" s="160" cm="1">
        <f t="array" ref="D10">INDEX('Balance Sheet'!$B$16:$E$16,6-COLUMN())</f>
        <v>4288</v>
      </c>
      <c r="E10" s="160" cm="1">
        <f t="array" ref="E10">INDEX('Balance Sheet'!$B$16:$E$16,6-COLUMN())</f>
        <v>4488</v>
      </c>
      <c r="F10" s="161">
        <f>'Income Statement Forecast'!F6*'Forecasted Assumptions'!F74</f>
        <v>4622.6400000000003</v>
      </c>
      <c r="G10" s="161">
        <f>'Income Statement Forecast'!G6*'Forecasted Assumptions'!G74</f>
        <v>4807.5455999999995</v>
      </c>
      <c r="H10" s="161">
        <f>'Income Statement Forecast'!H6*'Forecasted Assumptions'!H74</f>
        <v>4999.8474239999996</v>
      </c>
      <c r="I10" s="161">
        <f>'Income Statement Forecast'!I6*'Forecasted Assumptions'!I74</f>
        <v>5174.8420838399988</v>
      </c>
      <c r="J10" s="161">
        <f>'Income Statement Forecast'!J6*'Forecasted Assumptions'!J74</f>
        <v>5304.2131359359983</v>
      </c>
    </row>
    <row r="11" spans="1:10" s="4" customFormat="1" x14ac:dyDescent="0.2">
      <c r="A11" s="25" t="s">
        <v>19</v>
      </c>
      <c r="B11" s="162">
        <f>SUM(B6:B10)</f>
        <v>33657</v>
      </c>
      <c r="C11" s="162">
        <f t="shared" ref="C11:F11" si="1">SUM(C6:C10)</f>
        <v>29098</v>
      </c>
      <c r="D11" s="162">
        <f t="shared" si="1"/>
        <v>32763</v>
      </c>
      <c r="E11" s="162">
        <f t="shared" si="1"/>
        <v>25241</v>
      </c>
      <c r="F11" s="163">
        <f t="shared" si="1"/>
        <v>25818.17</v>
      </c>
      <c r="G11" s="163">
        <f t="shared" ref="G11" si="2">SUM(G6:G10)</f>
        <v>26610.816800000001</v>
      </c>
      <c r="H11" s="163">
        <f t="shared" ref="H11" si="3">SUM(H6:H10)</f>
        <v>27435.169472000001</v>
      </c>
      <c r="I11" s="163">
        <f t="shared" ref="I11" si="4">SUM(I6:I10)</f>
        <v>28185.330403519994</v>
      </c>
      <c r="J11" s="163">
        <f t="shared" ref="J11" si="5">SUM(J6:J10)</f>
        <v>28739.913663607993</v>
      </c>
    </row>
    <row r="12" spans="1:10" x14ac:dyDescent="0.2">
      <c r="B12" s="164"/>
      <c r="C12" s="164"/>
      <c r="D12" s="164"/>
      <c r="E12" s="164"/>
      <c r="F12" s="164"/>
      <c r="G12" s="164"/>
      <c r="H12" s="164"/>
      <c r="I12" s="164"/>
      <c r="J12" s="164"/>
    </row>
    <row r="13" spans="1:10" x14ac:dyDescent="0.2">
      <c r="A13" s="27" t="s">
        <v>20</v>
      </c>
      <c r="B13" s="164"/>
      <c r="C13" s="164"/>
      <c r="D13" s="164"/>
      <c r="E13" s="164"/>
      <c r="F13" s="164">
        <f>IF((F29+F37+F45)&gt;(F11+F20),(F29+F37+F45)-(F11+F20),0)</f>
        <v>0</v>
      </c>
      <c r="G13" s="164">
        <f t="shared" ref="G13:J13" si="6">IF((G29+G37+G45)&gt;(G11+G20),(G29+G37+G45)-(G11+G20),0)</f>
        <v>0</v>
      </c>
      <c r="H13" s="164">
        <f t="shared" si="6"/>
        <v>0</v>
      </c>
      <c r="I13" s="164">
        <f t="shared" si="6"/>
        <v>0</v>
      </c>
      <c r="J13" s="164">
        <f t="shared" si="6"/>
        <v>0</v>
      </c>
    </row>
    <row r="14" spans="1:10" x14ac:dyDescent="0.2">
      <c r="B14" s="164"/>
      <c r="C14" s="164"/>
      <c r="D14" s="164"/>
      <c r="E14" s="164"/>
      <c r="F14" s="164"/>
      <c r="G14" s="164"/>
      <c r="H14" s="164"/>
      <c r="I14" s="164"/>
      <c r="J14" s="164"/>
    </row>
    <row r="15" spans="1:10" x14ac:dyDescent="0.2">
      <c r="A15" s="2" t="s">
        <v>21</v>
      </c>
      <c r="B15" s="160" cm="1">
        <f t="array" ref="B15">INDEX('Balance Sheet'!$B$25:$E$25,6-COLUMN())</f>
        <v>36855</v>
      </c>
      <c r="C15" s="160" cm="1">
        <f t="array" ref="C15">INDEX('Balance Sheet'!$B$25:$E$25,6-COLUMN())</f>
        <v>37865</v>
      </c>
      <c r="D15" s="160" cm="1">
        <f t="array" ref="D15">INDEX('Balance Sheet'!$B$25:$E$25,6-COLUMN())</f>
        <v>39443</v>
      </c>
      <c r="E15" s="160" cm="1">
        <f t="array" ref="E15">INDEX('Balance Sheet'!$B$25:$E$25,6-COLUMN())</f>
        <v>40663</v>
      </c>
      <c r="F15" s="161">
        <f>'Income Statement Forecast'!F6*CHOOSE('DCF Valuation'!$I$33, 'Forecasted Assumptions'!F59, 'Forecasted Assumptions'!F60, 'Forecasted Assumptions'!F61)</f>
        <v>41882.89</v>
      </c>
      <c r="G15" s="161">
        <f>'Income Statement Forecast'!G6*CHOOSE('DCF Valuation'!$I$33, 'Forecasted Assumptions'!G59, 'Forecasted Assumptions'!G60, 'Forecasted Assumptions'!G61)</f>
        <v>43558.205600000001</v>
      </c>
      <c r="H15" s="161">
        <f>'Income Statement Forecast'!H6*CHOOSE('DCF Valuation'!$I$33, 'Forecasted Assumptions'!H59, 'Forecasted Assumptions'!H60, 'Forecasted Assumptions'!H61)</f>
        <v>45300.533823999998</v>
      </c>
      <c r="I15" s="161">
        <f>'Income Statement Forecast'!I6*CHOOSE('DCF Valuation'!$I$33, 'Forecasted Assumptions'!I59, 'Forecasted Assumptions'!I60, 'Forecasted Assumptions'!I61)</f>
        <v>46886.052507839995</v>
      </c>
      <c r="J15" s="161">
        <f>'Income Statement Forecast'!J6*CHOOSE('DCF Valuation'!$I$33, 'Forecasted Assumptions'!J59, 'Forecasted Assumptions'!J60, 'Forecasted Assumptions'!J61)</f>
        <v>48058.203820535986</v>
      </c>
    </row>
    <row r="16" spans="1:10" x14ac:dyDescent="0.2">
      <c r="A16" s="15" t="s">
        <v>23</v>
      </c>
      <c r="B16" s="160" cm="1">
        <f t="array" ref="B16">INDEX('Balance Sheet'!$B$27:$E$27,6-COLUMN())</f>
        <v>78071</v>
      </c>
      <c r="C16" s="160" cm="1">
        <f t="array" ref="C16">INDEX('Balance Sheet'!$B$27:$E$27,6-COLUMN())</f>
        <v>77897</v>
      </c>
      <c r="D16" s="160" cm="1">
        <f t="array" ref="D16">INDEX('Balance Sheet'!$B$27:$E$27,6-COLUMN())</f>
        <v>77067</v>
      </c>
      <c r="E16" s="160" cm="1">
        <f t="array" ref="E16">INDEX('Balance Sheet'!$B$27:$E$27,6-COLUMN())</f>
        <v>73326</v>
      </c>
      <c r="F16" s="161">
        <f>E16</f>
        <v>73326</v>
      </c>
      <c r="G16" s="161">
        <f t="shared" ref="G16:J16" si="7">F16</f>
        <v>73326</v>
      </c>
      <c r="H16" s="161">
        <f t="shared" si="7"/>
        <v>73326</v>
      </c>
      <c r="I16" s="161">
        <f t="shared" si="7"/>
        <v>73326</v>
      </c>
      <c r="J16" s="161">
        <f t="shared" si="7"/>
        <v>73326</v>
      </c>
    </row>
    <row r="17" spans="1:10" x14ac:dyDescent="0.2">
      <c r="A17" s="15" t="s">
        <v>292</v>
      </c>
      <c r="B17" s="160" cm="1">
        <f t="array" ref="B17">INDEX('Balance Sheet'!$B$28:$E$28,6-COLUMN())</f>
        <v>46664</v>
      </c>
      <c r="C17" s="160" cm="1">
        <f t="array" ref="C17">INDEX('Balance Sheet'!$B$28:$E$28,6-COLUMN())</f>
        <v>50614</v>
      </c>
      <c r="D17" s="160" cm="1">
        <f t="array" ref="D17">INDEX('Balance Sheet'!$B$28:$E$28,6-COLUMN())</f>
        <v>46652</v>
      </c>
      <c r="E17" s="160" cm="1">
        <f t="array" ref="E17">INDEX('Balance Sheet'!$B$28:$E$28,6-COLUMN())</f>
        <v>43051</v>
      </c>
      <c r="F17" s="161">
        <f>E17</f>
        <v>43051</v>
      </c>
      <c r="G17" s="161">
        <f t="shared" ref="G17:J17" si="8">F17</f>
        <v>43051</v>
      </c>
      <c r="H17" s="161">
        <f t="shared" si="8"/>
        <v>43051</v>
      </c>
      <c r="I17" s="161">
        <f t="shared" si="8"/>
        <v>43051</v>
      </c>
      <c r="J17" s="161">
        <f t="shared" si="8"/>
        <v>43051</v>
      </c>
    </row>
    <row r="18" spans="1:10" x14ac:dyDescent="0.2">
      <c r="A18" s="2" t="s">
        <v>22</v>
      </c>
      <c r="B18" s="160" cm="1">
        <f t="array" ref="B18">INDEX('Balance Sheet'!$B$29:$E$29,6-COLUMN())</f>
        <v>3935</v>
      </c>
      <c r="C18" s="160" cm="1">
        <f t="array" ref="C18">INDEX('Balance Sheet'!$B$29:$E$29,6-COLUMN())</f>
        <v>3218</v>
      </c>
      <c r="D18" s="160" cm="1">
        <f t="array" ref="D18">INDEX('Balance Sheet'!$B$29:$E$29,6-COLUMN())</f>
        <v>3080</v>
      </c>
      <c r="E18" s="160" cm="1">
        <f t="array" ref="E18">INDEX('Balance Sheet'!$B$29:$E$29,6-COLUMN())</f>
        <v>4459</v>
      </c>
      <c r="F18" s="161">
        <f>E18</f>
        <v>4459</v>
      </c>
      <c r="G18" s="161">
        <f t="shared" ref="G18:J18" si="9">F18</f>
        <v>4459</v>
      </c>
      <c r="H18" s="161">
        <f t="shared" si="9"/>
        <v>4459</v>
      </c>
      <c r="I18" s="161">
        <f t="shared" si="9"/>
        <v>4459</v>
      </c>
      <c r="J18" s="161">
        <f t="shared" si="9"/>
        <v>4459</v>
      </c>
    </row>
    <row r="19" spans="1:10" x14ac:dyDescent="0.2">
      <c r="A19" s="2" t="s">
        <v>24</v>
      </c>
      <c r="B19" s="160" cm="1">
        <f t="array" ref="B19">INDEX('Balance Sheet'!$B$32:$E$32,6-COLUMN())</f>
        <v>4427</v>
      </c>
      <c r="C19" s="160" cm="1">
        <f t="array" ref="C19">INDEX('Balance Sheet'!$B$32:$E$32,6-COLUMN())</f>
        <v>4939</v>
      </c>
      <c r="D19" s="160" cm="1">
        <f t="array" ref="D19">INDEX('Balance Sheet'!$B$32:$E$32,6-COLUMN())</f>
        <v>6574</v>
      </c>
      <c r="E19" s="160" cm="1">
        <f t="array" ref="E19">INDEX('Balance Sheet'!$B$32:$E$32,6-COLUMN())</f>
        <v>9479</v>
      </c>
      <c r="F19" s="161">
        <f>E19</f>
        <v>9479</v>
      </c>
      <c r="G19" s="161">
        <f t="shared" ref="G19:J19" si="10">F19</f>
        <v>9479</v>
      </c>
      <c r="H19" s="161">
        <f t="shared" si="10"/>
        <v>9479</v>
      </c>
      <c r="I19" s="161">
        <f t="shared" si="10"/>
        <v>9479</v>
      </c>
      <c r="J19" s="161">
        <f t="shared" si="10"/>
        <v>9479</v>
      </c>
    </row>
    <row r="20" spans="1:10" s="4" customFormat="1" x14ac:dyDescent="0.2">
      <c r="A20" s="25" t="s">
        <v>25</v>
      </c>
      <c r="B20" s="162">
        <f>SUM(B15:B19)</f>
        <v>169952</v>
      </c>
      <c r="C20" s="162">
        <f t="shared" ref="C20:E20" si="11">SUM(C15:C19)</f>
        <v>174533</v>
      </c>
      <c r="D20" s="162">
        <f t="shared" si="11"/>
        <v>172816</v>
      </c>
      <c r="E20" s="162">
        <f t="shared" si="11"/>
        <v>170978</v>
      </c>
      <c r="F20" s="163">
        <f>SUM(F15:F19)</f>
        <v>172197.89</v>
      </c>
      <c r="G20" s="163">
        <f t="shared" ref="G20:J20" si="12">SUM(G15:G19)</f>
        <v>173873.20559999999</v>
      </c>
      <c r="H20" s="163">
        <f t="shared" si="12"/>
        <v>175615.53382399998</v>
      </c>
      <c r="I20" s="163">
        <f t="shared" si="12"/>
        <v>177201.05250783998</v>
      </c>
      <c r="J20" s="163">
        <f t="shared" si="12"/>
        <v>178373.20382053597</v>
      </c>
    </row>
    <row r="21" spans="1:10" x14ac:dyDescent="0.2">
      <c r="F21" s="115"/>
      <c r="G21" s="115"/>
      <c r="H21" s="115"/>
      <c r="I21" s="115"/>
      <c r="J21" s="115"/>
    </row>
    <row r="22" spans="1:10" s="4" customFormat="1" ht="17" thickBot="1" x14ac:dyDescent="0.25">
      <c r="A22" s="108" t="s">
        <v>26</v>
      </c>
      <c r="B22" s="143">
        <f>B11+B20</f>
        <v>203609</v>
      </c>
      <c r="C22" s="143">
        <f t="shared" ref="C22:E22" si="13">C11+C20</f>
        <v>203631</v>
      </c>
      <c r="D22" s="143">
        <f t="shared" si="13"/>
        <v>205579</v>
      </c>
      <c r="E22" s="143">
        <f t="shared" si="13"/>
        <v>196219</v>
      </c>
      <c r="F22" s="158">
        <f>F11+F20+F13</f>
        <v>198016.06</v>
      </c>
      <c r="G22" s="158">
        <f t="shared" ref="G22:J22" si="14">G11+G20+G13</f>
        <v>200484.02239999999</v>
      </c>
      <c r="H22" s="158">
        <f t="shared" si="14"/>
        <v>203050.70329599999</v>
      </c>
      <c r="I22" s="158">
        <f t="shared" si="14"/>
        <v>205386.38291135998</v>
      </c>
      <c r="J22" s="158">
        <f t="shared" si="14"/>
        <v>207113.11748414396</v>
      </c>
    </row>
    <row r="23" spans="1:10" ht="17" thickTop="1" x14ac:dyDescent="0.2">
      <c r="F23" s="115"/>
      <c r="G23" s="115"/>
      <c r="H23" s="115"/>
      <c r="I23" s="115"/>
      <c r="J23" s="115"/>
    </row>
    <row r="24" spans="1:10" x14ac:dyDescent="0.2">
      <c r="F24" s="115"/>
      <c r="G24" s="115"/>
      <c r="H24" s="115"/>
      <c r="I24" s="115"/>
      <c r="J24" s="115"/>
    </row>
    <row r="25" spans="1:10" x14ac:dyDescent="0.2">
      <c r="A25" s="2" t="s">
        <v>27</v>
      </c>
      <c r="B25" s="160" cm="1">
        <f t="array" ref="B25">INDEX('Balance Sheet'!$B$38:$E$38,6-COLUMN())</f>
        <v>16357</v>
      </c>
      <c r="C25" s="160" cm="1">
        <f t="array" ref="C25">INDEX('Balance Sheet'!$B$38:$E$38,6-COLUMN())</f>
        <v>15554</v>
      </c>
      <c r="D25" s="160" cm="1">
        <f t="array" ref="D25">INDEX('Balance Sheet'!$B$38:$E$38,6-COLUMN())</f>
        <v>14348</v>
      </c>
      <c r="E25" s="160" cm="1">
        <f t="array" ref="E25">INDEX('Balance Sheet'!$B$38:$E$38,6-COLUMN())</f>
        <v>14022</v>
      </c>
      <c r="F25" s="161">
        <f>'Income Statement Forecast'!F6*CHOOSE('DCF Valuation'!$I$33, 'Forecasted Assumptions'!F64, 'Forecasted Assumptions'!F65, 'Forecasted Assumptions'!F66)</f>
        <v>14442.66</v>
      </c>
      <c r="G25" s="161">
        <f>'Income Statement Forecast'!G6*CHOOSE('DCF Valuation'!$I$33, 'Forecasted Assumptions'!G64, 'Forecasted Assumptions'!G65, 'Forecasted Assumptions'!G66)</f>
        <v>15020.366399999999</v>
      </c>
      <c r="H25" s="161">
        <f>'Income Statement Forecast'!H6*CHOOSE('DCF Valuation'!$I$33, 'Forecasted Assumptions'!H64, 'Forecasted Assumptions'!H65, 'Forecasted Assumptions'!H66)</f>
        <v>15621.181055999999</v>
      </c>
      <c r="I25" s="161">
        <f>'Income Statement Forecast'!I6*CHOOSE('DCF Valuation'!$I$33, 'Forecasted Assumptions'!I64, 'Forecasted Assumptions'!I65, 'Forecasted Assumptions'!I66)</f>
        <v>16167.922392959998</v>
      </c>
      <c r="J25" s="161">
        <f>'Income Statement Forecast'!J6*CHOOSE('DCF Valuation'!$I$33, 'Forecasted Assumptions'!J64, 'Forecasted Assumptions'!J65, 'Forecasted Assumptions'!J66)</f>
        <v>16572.120452783995</v>
      </c>
    </row>
    <row r="26" spans="1:10" x14ac:dyDescent="0.2">
      <c r="A26" s="2" t="s">
        <v>28</v>
      </c>
      <c r="B26" s="160" cm="1">
        <f t="array" ref="B26">INDEX('Balance Sheet'!$B$39:$E$39,6-COLUMN())</f>
        <v>4119</v>
      </c>
      <c r="C26" s="160" cm="1">
        <f t="array" ref="C26">INDEX('Balance Sheet'!$B$39:$E$39,6-COLUMN())</f>
        <v>4061</v>
      </c>
      <c r="D26" s="160" cm="1">
        <f t="array" ref="D26">INDEX('Balance Sheet'!$B$39:$E$39,6-COLUMN())</f>
        <v>3801</v>
      </c>
      <c r="E26" s="160" cm="1">
        <f t="array" ref="E26">INDEX('Balance Sheet'!$B$39:$E$39,6-COLUMN())</f>
        <v>4416</v>
      </c>
      <c r="F26" s="161">
        <f>'Income Statement Forecast'!F6*CHOOSE('DCF Valuation'!$I$33, 'Forecasted Assumptions'!F69, 'Forecasted Assumptions'!F70, 'Forecasted Assumptions'!F71)</f>
        <v>4548.4800000000005</v>
      </c>
      <c r="G26" s="161">
        <f>'Income Statement Forecast'!G6*CHOOSE('DCF Valuation'!$I$33, 'Forecasted Assumptions'!G69, 'Forecasted Assumptions'!G70, 'Forecasted Assumptions'!G71)</f>
        <v>4730.4192000000003</v>
      </c>
      <c r="H26" s="161">
        <f>'Income Statement Forecast'!H6*CHOOSE('DCF Valuation'!$I$33, 'Forecasted Assumptions'!H69, 'Forecasted Assumptions'!H70, 'Forecasted Assumptions'!H71)</f>
        <v>4919.6359680000005</v>
      </c>
      <c r="I26" s="161">
        <f>'Income Statement Forecast'!I6*CHOOSE('DCF Valuation'!$I$33, 'Forecasted Assumptions'!I69, 'Forecasted Assumptions'!I70, 'Forecasted Assumptions'!I71)</f>
        <v>5091.8232268799993</v>
      </c>
      <c r="J26" s="161">
        <f>'Income Statement Forecast'!J6*CHOOSE('DCF Valuation'!$I$33, 'Forecasted Assumptions'!J69, 'Forecasted Assumptions'!J70, 'Forecasted Assumptions'!J71)</f>
        <v>5219.1188075519985</v>
      </c>
    </row>
    <row r="27" spans="1:10" x14ac:dyDescent="0.2">
      <c r="A27" s="15" t="s">
        <v>293</v>
      </c>
      <c r="B27" s="160" cm="1">
        <f t="array" ref="B27">INDEX('Balance Sheet'!$B$41:$E$41,6-COLUMN())</f>
        <v>5907</v>
      </c>
      <c r="C27" s="160" cm="1">
        <f t="array" ref="C27">INDEX('Balance Sheet'!$B$41:$E$41,6-COLUMN())</f>
        <v>3107</v>
      </c>
      <c r="D27" s="160" cm="1">
        <f t="array" ref="D27">INDEX('Balance Sheet'!$B$41:$E$41,6-COLUMN())</f>
        <v>4367</v>
      </c>
      <c r="E27" s="160" cm="1">
        <f t="array" ref="E27">INDEX('Balance Sheet'!$B$41:$E$41,6-COLUMN())</f>
        <v>6875</v>
      </c>
      <c r="F27" s="161">
        <f>E27</f>
        <v>6875</v>
      </c>
      <c r="G27" s="161">
        <f t="shared" ref="G27:J27" si="15">F27</f>
        <v>6875</v>
      </c>
      <c r="H27" s="161">
        <f t="shared" si="15"/>
        <v>6875</v>
      </c>
      <c r="I27" s="161">
        <f t="shared" si="15"/>
        <v>6875</v>
      </c>
      <c r="J27" s="161">
        <f t="shared" si="15"/>
        <v>6875</v>
      </c>
    </row>
    <row r="28" spans="1:10" x14ac:dyDescent="0.2">
      <c r="A28" s="2" t="s">
        <v>29</v>
      </c>
      <c r="B28" s="160" cm="1">
        <f t="array" ref="B28">INDEX('Balance Sheet'!$B$42:$E$42,6-COLUMN())</f>
        <v>4694</v>
      </c>
      <c r="C28" s="160" cm="1">
        <f t="array" ref="C28">INDEX('Balance Sheet'!$B$42:$E$42,6-COLUMN())</f>
        <v>6351</v>
      </c>
      <c r="D28" s="160" cm="1">
        <f t="array" ref="D28">INDEX('Balance Sheet'!$B$42:$E$42,6-COLUMN())</f>
        <v>8623</v>
      </c>
      <c r="E28" s="160" cm="1">
        <f t="array" ref="E28">INDEX('Balance Sheet'!$B$42:$E$42,6-COLUMN())</f>
        <v>9286</v>
      </c>
      <c r="F28" s="161">
        <f>'Income Statement Forecast'!F6*CHOOSE('DCF Valuation'!$I$33, 'Forecasted Assumptions'!F79, 'Forecasted Assumptions'!F80, 'Forecasted Assumptions'!F81)</f>
        <v>9564.58</v>
      </c>
      <c r="G28" s="161">
        <f>'Income Statement Forecast'!G6*CHOOSE('DCF Valuation'!$I$33, 'Forecasted Assumptions'!G79, 'Forecasted Assumptions'!G80, 'Forecasted Assumptions'!G81)</f>
        <v>9947.1631999999991</v>
      </c>
      <c r="H28" s="161">
        <f>'Income Statement Forecast'!H6*CHOOSE('DCF Valuation'!$I$33, 'Forecasted Assumptions'!H79, 'Forecasted Assumptions'!H80, 'Forecasted Assumptions'!H81)</f>
        <v>10345.049728</v>
      </c>
      <c r="I28" s="161">
        <f>'Income Statement Forecast'!I6*CHOOSE('DCF Valuation'!$I$33, 'Forecasted Assumptions'!I79, 'Forecasted Assumptions'!I80, 'Forecasted Assumptions'!I81)</f>
        <v>10707.126468479999</v>
      </c>
      <c r="J28" s="161">
        <f>'Income Statement Forecast'!J6*CHOOSE('DCF Valuation'!$I$33, 'Forecasted Assumptions'!J79, 'Forecasted Assumptions'!J80, 'Forecasted Assumptions'!J81)</f>
        <v>10974.804630191997</v>
      </c>
    </row>
    <row r="29" spans="1:10" s="4" customFormat="1" x14ac:dyDescent="0.2">
      <c r="A29" s="25" t="s">
        <v>30</v>
      </c>
      <c r="B29" s="162">
        <f>SUM(B25:B28)</f>
        <v>31077</v>
      </c>
      <c r="C29" s="162">
        <f t="shared" ref="C29:E29" si="16">SUM(C25:C28)</f>
        <v>29073</v>
      </c>
      <c r="D29" s="162">
        <f t="shared" si="16"/>
        <v>31139</v>
      </c>
      <c r="E29" s="162">
        <f t="shared" si="16"/>
        <v>34599</v>
      </c>
      <c r="F29" s="163">
        <f>SUM(F25:F28)</f>
        <v>35430.720000000001</v>
      </c>
      <c r="G29" s="163">
        <f t="shared" ref="G29:J29" si="17">SUM(G25:G28)</f>
        <v>36572.948799999998</v>
      </c>
      <c r="H29" s="163">
        <f t="shared" si="17"/>
        <v>37760.866752000002</v>
      </c>
      <c r="I29" s="163">
        <f t="shared" si="17"/>
        <v>38841.872088319993</v>
      </c>
      <c r="J29" s="163">
        <f t="shared" si="17"/>
        <v>39641.043890527988</v>
      </c>
    </row>
    <row r="30" spans="1:10" x14ac:dyDescent="0.2">
      <c r="B30" s="164"/>
      <c r="C30" s="164"/>
      <c r="D30" s="164"/>
      <c r="E30" s="164"/>
      <c r="F30" s="165"/>
      <c r="G30" s="165"/>
      <c r="H30" s="165"/>
      <c r="I30" s="165"/>
      <c r="J30" s="165"/>
    </row>
    <row r="31" spans="1:10" x14ac:dyDescent="0.2">
      <c r="A31" s="26" t="s">
        <v>31</v>
      </c>
      <c r="B31" s="164"/>
      <c r="C31" s="164"/>
      <c r="D31" s="164"/>
      <c r="E31" s="164"/>
      <c r="F31" s="165">
        <f>IF((F11+F20)&gt;(F29+F37+F45),(F11+F20)-(F29+F37+F45),0)</f>
        <v>499.82999999998719</v>
      </c>
      <c r="G31" s="165">
        <f t="shared" ref="G31:J31" si="18">IF((G11+G20)&gt;(G29+G37+G45),(G11+G20)-(G29+G37+G45),0)</f>
        <v>1186.2631999999867</v>
      </c>
      <c r="H31" s="165">
        <f t="shared" si="18"/>
        <v>1900.1537279999757</v>
      </c>
      <c r="I31" s="165">
        <f t="shared" si="18"/>
        <v>2549.7941084799822</v>
      </c>
      <c r="J31" s="165">
        <f t="shared" si="18"/>
        <v>3030.063961191976</v>
      </c>
    </row>
    <row r="32" spans="1:10" x14ac:dyDescent="0.2">
      <c r="F32" s="115"/>
      <c r="G32" s="115"/>
      <c r="H32" s="115"/>
      <c r="I32" s="115"/>
      <c r="J32" s="115"/>
    </row>
    <row r="33" spans="1:10" x14ac:dyDescent="0.2">
      <c r="A33" s="2" t="s">
        <v>32</v>
      </c>
      <c r="B33" s="160" cm="1">
        <f t="array" ref="B33">INDEX('Balance Sheet'!$B$46:$E$46,6-COLUMN())</f>
        <v>48786</v>
      </c>
      <c r="C33" s="160" cm="1">
        <f t="array" ref="C33">INDEX('Balance Sheet'!$B$46:$E$46,6-COLUMN())</f>
        <v>45518</v>
      </c>
      <c r="D33" s="160" cm="1">
        <f t="array" ref="D33">INDEX('Balance Sheet'!$B$46:$E$46,6-COLUMN())</f>
        <v>42307</v>
      </c>
      <c r="E33" s="160" cm="1">
        <f t="array" ref="E33">INDEX('Balance Sheet'!$B$46:$E$46,6-COLUMN())</f>
        <v>39130</v>
      </c>
      <c r="F33" s="161">
        <f>E33</f>
        <v>39130</v>
      </c>
      <c r="G33" s="161">
        <f t="shared" ref="G33:J33" si="19">F33</f>
        <v>39130</v>
      </c>
      <c r="H33" s="161">
        <f t="shared" si="19"/>
        <v>39130</v>
      </c>
      <c r="I33" s="161">
        <f t="shared" si="19"/>
        <v>39130</v>
      </c>
      <c r="J33" s="161">
        <f t="shared" si="19"/>
        <v>39130</v>
      </c>
    </row>
    <row r="34" spans="1:10" x14ac:dyDescent="0.2">
      <c r="A34" s="15" t="s">
        <v>176</v>
      </c>
      <c r="B34" s="160" cm="1">
        <f t="array" ref="B34">INDEX('Balance Sheet'!$B$50:$E$50,6-COLUMN())</f>
        <v>7246</v>
      </c>
      <c r="C34" s="160" cm="1">
        <f t="array" ref="C34">INDEX('Balance Sheet'!$B$50:$E$50,6-COLUMN())</f>
        <v>8363</v>
      </c>
      <c r="D34" s="160" cm="1">
        <f t="array" ref="D34">INDEX('Balance Sheet'!$B$50:$E$50,6-COLUMN())</f>
        <v>7258</v>
      </c>
      <c r="E34" s="160" cm="1">
        <f t="array" ref="E34">INDEX('Balance Sheet'!$B$50:$E$50,6-COLUMN())</f>
        <v>6277</v>
      </c>
      <c r="F34" s="161">
        <f>E34</f>
        <v>6277</v>
      </c>
      <c r="G34" s="161">
        <f t="shared" ref="G34:J34" si="20">F34</f>
        <v>6277</v>
      </c>
      <c r="H34" s="161">
        <f t="shared" si="20"/>
        <v>6277</v>
      </c>
      <c r="I34" s="161">
        <f t="shared" si="20"/>
        <v>6277</v>
      </c>
      <c r="J34" s="161">
        <f t="shared" si="20"/>
        <v>6277</v>
      </c>
    </row>
    <row r="35" spans="1:10" x14ac:dyDescent="0.2">
      <c r="A35" s="15" t="s">
        <v>177</v>
      </c>
      <c r="B35" s="160" cm="1">
        <f t="array" ref="B35">INDEX('Balance Sheet'!$B$51:$E$51,6-COLUMN())</f>
        <v>13671</v>
      </c>
      <c r="C35" s="160" cm="1">
        <f t="array" ref="C35">INDEX('Balance Sheet'!$B$51:$E$51,6-COLUMN())</f>
        <v>13370</v>
      </c>
      <c r="D35" s="160" cm="1">
        <f t="array" ref="D35">INDEX('Balance Sheet'!$B$51:$E$51,6-COLUMN())</f>
        <v>13735</v>
      </c>
      <c r="E35" s="160" cm="1">
        <f t="array" ref="E35">INDEX('Balance Sheet'!$B$51:$E$51,6-COLUMN())</f>
        <v>4826</v>
      </c>
      <c r="F35" s="161">
        <f>'Income Statement Forecast'!F6*CHOOSE('DCF Valuation'!$I$33, 'Forecasted Assumptions'!F84, 'Forecasted Assumptions'!F85, 'Forecasted Assumptions'!F86)</f>
        <v>4970.7800000000007</v>
      </c>
      <c r="G35" s="161">
        <f>'Income Statement Forecast'!G6*CHOOSE('DCF Valuation'!$I$33, 'Forecasted Assumptions'!G84, 'Forecasted Assumptions'!G85, 'Forecasted Assumptions'!G86)</f>
        <v>5169.6112000000003</v>
      </c>
      <c r="H35" s="161">
        <f>'Income Statement Forecast'!H6*CHOOSE('DCF Valuation'!$I$33, 'Forecasted Assumptions'!H84, 'Forecasted Assumptions'!H85, 'Forecasted Assumptions'!H86)</f>
        <v>5376.3956480000006</v>
      </c>
      <c r="I35" s="161">
        <f>'Income Statement Forecast'!I6*CHOOSE('DCF Valuation'!$I$33, 'Forecasted Assumptions'!I84, 'Forecasted Assumptions'!I85, 'Forecasted Assumptions'!I86)</f>
        <v>5564.5694956799998</v>
      </c>
      <c r="J35" s="161">
        <f>'Income Statement Forecast'!J6*CHOOSE('DCF Valuation'!$I$33, 'Forecasted Assumptions'!J84, 'Forecasted Assumptions'!J85, 'Forecasted Assumptions'!J86)</f>
        <v>5703.6837330719991</v>
      </c>
    </row>
    <row r="36" spans="1:10" x14ac:dyDescent="0.2">
      <c r="A36" s="15" t="s">
        <v>294</v>
      </c>
      <c r="B36" s="160" cm="1">
        <f t="array" ref="B36">INDEX('Balance Sheet'!$B$52:$E$52,6-COLUMN())</f>
        <v>14276</v>
      </c>
      <c r="C36" s="160" cm="1">
        <f t="array" ref="C36">INDEX('Balance Sheet'!$B$52:$E$52,6-COLUMN())</f>
        <v>12299</v>
      </c>
      <c r="D36" s="160" cm="1">
        <f t="array" ref="D36">INDEX('Balance Sheet'!$B$52:$E$52,6-COLUMN())</f>
        <v>11863</v>
      </c>
      <c r="E36" s="160" cm="1">
        <f t="array" ref="E36">INDEX('Balance Sheet'!$B$52:$E$52,6-COLUMN())</f>
        <v>10691</v>
      </c>
      <c r="F36" s="161">
        <f>'Income Statement Forecast'!F6*CHOOSE('DCF Valuation'!$I$33, 'Forecasted Assumptions'!F89, 'Forecasted Assumptions'!F90, 'Forecasted Assumptions'!F91)</f>
        <v>11011.730000000001</v>
      </c>
      <c r="G36" s="161">
        <f>'Income Statement Forecast'!G6*CHOOSE('DCF Valuation'!$I$33, 'Forecasted Assumptions'!G89, 'Forecasted Assumptions'!G90, 'Forecasted Assumptions'!G91)</f>
        <v>11452.199200000001</v>
      </c>
      <c r="H36" s="161">
        <f>'Income Statement Forecast'!H6*CHOOSE('DCF Valuation'!$I$33, 'Forecasted Assumptions'!H89, 'Forecasted Assumptions'!H90, 'Forecasted Assumptions'!H91)</f>
        <v>11910.287168000001</v>
      </c>
      <c r="I36" s="161">
        <f>'Income Statement Forecast'!I6*CHOOSE('DCF Valuation'!$I$33, 'Forecasted Assumptions'!I89, 'Forecasted Assumptions'!I90, 'Forecasted Assumptions'!I91)</f>
        <v>12327.147218879998</v>
      </c>
      <c r="J36" s="161">
        <f>'Income Statement Forecast'!J6*CHOOSE('DCF Valuation'!$I$33, 'Forecasted Assumptions'!J89, 'Forecasted Assumptions'!J90, 'Forecasted Assumptions'!J91)</f>
        <v>12635.325899351998</v>
      </c>
    </row>
    <row r="37" spans="1:10" s="4" customFormat="1" x14ac:dyDescent="0.2">
      <c r="A37" s="25" t="s">
        <v>33</v>
      </c>
      <c r="B37" s="162">
        <f>SUM(B33:B36)</f>
        <v>83979</v>
      </c>
      <c r="C37" s="162">
        <f t="shared" ref="C37:E37" si="21">SUM(C33:C36)</f>
        <v>79550</v>
      </c>
      <c r="D37" s="162">
        <f t="shared" si="21"/>
        <v>75163</v>
      </c>
      <c r="E37" s="162">
        <f t="shared" si="21"/>
        <v>60924</v>
      </c>
      <c r="F37" s="163">
        <f>SUM(F33:F36)</f>
        <v>61389.51</v>
      </c>
      <c r="G37" s="163">
        <f t="shared" ref="G37:J37" si="22">SUM(G33:G36)</f>
        <v>62028.810400000002</v>
      </c>
      <c r="H37" s="163">
        <f t="shared" si="22"/>
        <v>62693.682816</v>
      </c>
      <c r="I37" s="163">
        <f t="shared" si="22"/>
        <v>63298.716714559996</v>
      </c>
      <c r="J37" s="163">
        <f t="shared" si="22"/>
        <v>63746.009632424</v>
      </c>
    </row>
    <row r="38" spans="1:10" x14ac:dyDescent="0.2">
      <c r="F38" s="115"/>
      <c r="G38" s="115"/>
      <c r="H38" s="115"/>
      <c r="I38" s="115"/>
      <c r="J38" s="115"/>
    </row>
    <row r="39" spans="1:10" s="4" customFormat="1" x14ac:dyDescent="0.2">
      <c r="A39" s="32" t="s">
        <v>129</v>
      </c>
      <c r="B39" s="145">
        <f>B29+B37</f>
        <v>115056</v>
      </c>
      <c r="C39" s="145">
        <f t="shared" ref="C39:J39" si="23">C29+C37</f>
        <v>108623</v>
      </c>
      <c r="D39" s="145">
        <f t="shared" si="23"/>
        <v>106302</v>
      </c>
      <c r="E39" s="145">
        <f t="shared" si="23"/>
        <v>95523</v>
      </c>
      <c r="F39" s="159">
        <f t="shared" si="23"/>
        <v>96820.23000000001</v>
      </c>
      <c r="G39" s="159">
        <f t="shared" si="23"/>
        <v>98601.7592</v>
      </c>
      <c r="H39" s="159">
        <f t="shared" si="23"/>
        <v>100454.549568</v>
      </c>
      <c r="I39" s="159">
        <f t="shared" si="23"/>
        <v>102140.58880288</v>
      </c>
      <c r="J39" s="159">
        <f t="shared" si="23"/>
        <v>103387.05352295199</v>
      </c>
    </row>
    <row r="40" spans="1:10" x14ac:dyDescent="0.2">
      <c r="F40" s="115"/>
      <c r="G40" s="115"/>
      <c r="H40" s="115"/>
      <c r="I40" s="115"/>
      <c r="J40" s="115"/>
    </row>
    <row r="41" spans="1:10" x14ac:dyDescent="0.2">
      <c r="A41" s="106" t="s">
        <v>295</v>
      </c>
      <c r="B41" s="160" cm="1">
        <f t="array" ref="B41">INDEX('Balance Sheet'!$B$58:$E$58,6-COLUMN())</f>
        <v>55471</v>
      </c>
      <c r="C41" s="160" cm="1">
        <f t="array" ref="C41">INDEX('Balance Sheet'!$B$58:$E$58,6-COLUMN())</f>
        <v>56398</v>
      </c>
      <c r="D41" s="160" cm="1">
        <f t="array" ref="D41">INDEX('Balance Sheet'!$B$58:$E$58,6-COLUMN())</f>
        <v>57383</v>
      </c>
      <c r="E41" s="160" cm="1">
        <f t="array" ref="E41">INDEX('Balance Sheet'!$B$58:$E$58,6-COLUMN())</f>
        <v>58592</v>
      </c>
      <c r="F41" s="161">
        <f>E41</f>
        <v>58592</v>
      </c>
      <c r="G41" s="161">
        <f t="shared" ref="G41:I41" si="24">F41</f>
        <v>58592</v>
      </c>
      <c r="H41" s="161">
        <f t="shared" si="24"/>
        <v>58592</v>
      </c>
      <c r="I41" s="161">
        <f t="shared" si="24"/>
        <v>58592</v>
      </c>
      <c r="J41" s="161">
        <f>I41</f>
        <v>58592</v>
      </c>
    </row>
    <row r="42" spans="1:10" x14ac:dyDescent="0.2">
      <c r="A42" s="106" t="s">
        <v>297</v>
      </c>
      <c r="B42" s="160" cm="1">
        <f t="array" ref="B42">INDEX('Balance Sheet'!$B$61:$E$61,6-COLUMN())</f>
        <v>40429</v>
      </c>
      <c r="C42" s="160" cm="1">
        <f t="array" ref="C42">INDEX('Balance Sheet'!$B$61:$E$61,6-COLUMN())</f>
        <v>43636</v>
      </c>
      <c r="D42" s="160" cm="1">
        <f t="array" ref="D42">INDEX('Balance Sheet'!$B$61:$E$61,6-COLUMN())</f>
        <v>46093</v>
      </c>
      <c r="E42" s="160" cm="1">
        <f t="array" ref="E42">INDEX('Balance Sheet'!$B$61:$E$61,6-COLUMN())</f>
        <v>49722</v>
      </c>
      <c r="F42" s="161">
        <f>E42</f>
        <v>49722</v>
      </c>
      <c r="G42" s="161">
        <f t="shared" ref="G42:J42" si="25">F42</f>
        <v>49722</v>
      </c>
      <c r="H42" s="161">
        <f t="shared" si="25"/>
        <v>49722</v>
      </c>
      <c r="I42" s="161">
        <f t="shared" si="25"/>
        <v>49722</v>
      </c>
      <c r="J42" s="161">
        <f t="shared" si="25"/>
        <v>49722</v>
      </c>
    </row>
    <row r="43" spans="1:10" x14ac:dyDescent="0.2">
      <c r="A43" s="106" t="s">
        <v>186</v>
      </c>
      <c r="B43" s="160" cm="1">
        <f t="array" ref="B43">INDEX('Balance Sheet'!$B$62:$E$62,6-COLUMN())</f>
        <v>-907</v>
      </c>
      <c r="C43" s="160" cm="1">
        <f t="array" ref="C43">INDEX('Balance Sheet'!$B$62:$E$62,6-COLUMN())</f>
        <v>-907</v>
      </c>
      <c r="D43" s="160" cm="1">
        <f t="array" ref="D43">INDEX('Balance Sheet'!$B$62:$E$62,6-COLUMN())</f>
        <v>-907</v>
      </c>
      <c r="E43" s="160" cm="1">
        <f t="array" ref="E43">INDEX('Balance Sheet'!$B$62:$E$62,6-COLUMN())</f>
        <v>-3919</v>
      </c>
      <c r="F43" s="161">
        <f>E43</f>
        <v>-3919</v>
      </c>
      <c r="G43" s="161">
        <f t="shared" ref="G43:J43" si="26">F43</f>
        <v>-3919</v>
      </c>
      <c r="H43" s="161">
        <f t="shared" si="26"/>
        <v>-3919</v>
      </c>
      <c r="I43" s="161">
        <f t="shared" si="26"/>
        <v>-3919</v>
      </c>
      <c r="J43" s="161">
        <f t="shared" si="26"/>
        <v>-3919</v>
      </c>
    </row>
    <row r="44" spans="1:10" x14ac:dyDescent="0.2">
      <c r="A44" s="106" t="s">
        <v>296</v>
      </c>
      <c r="B44" s="160" cm="1">
        <f t="array" ref="B44">INDEX('Balance Sheet'!$B$65:$E$65,6-COLUMN())</f>
        <v>-6440</v>
      </c>
      <c r="C44" s="160" cm="1">
        <f t="array" ref="C44">INDEX('Balance Sheet'!$B$65:$E$65,6-COLUMN())</f>
        <v>-4119</v>
      </c>
      <c r="D44" s="160" cm="1">
        <f t="array" ref="D44">INDEX('Balance Sheet'!$B$65:$E$65,6-COLUMN())</f>
        <v>-3292</v>
      </c>
      <c r="E44" s="160" cm="1">
        <f t="array" ref="E44">INDEX('Balance Sheet'!$B$65:$E$65,6-COLUMN())</f>
        <v>-3699</v>
      </c>
      <c r="F44" s="161">
        <f>E44</f>
        <v>-3699</v>
      </c>
      <c r="G44" s="161">
        <f t="shared" ref="G44:J44" si="27">F44</f>
        <v>-3699</v>
      </c>
      <c r="H44" s="161">
        <f t="shared" si="27"/>
        <v>-3699</v>
      </c>
      <c r="I44" s="161">
        <f t="shared" si="27"/>
        <v>-3699</v>
      </c>
      <c r="J44" s="161">
        <f t="shared" si="27"/>
        <v>-3699</v>
      </c>
    </row>
    <row r="45" spans="1:10" x14ac:dyDescent="0.2">
      <c r="A45" s="32" t="s">
        <v>299</v>
      </c>
      <c r="B45" s="162">
        <f>SUM(B41:B44)</f>
        <v>88553</v>
      </c>
      <c r="C45" s="162">
        <f t="shared" ref="C45:D45" si="28">SUM(C41:C44)</f>
        <v>95008</v>
      </c>
      <c r="D45" s="162">
        <f t="shared" si="28"/>
        <v>99277</v>
      </c>
      <c r="E45" s="162">
        <f>SUM(E41:E44)</f>
        <v>100696</v>
      </c>
      <c r="F45" s="163">
        <f>SUM(F41:F44)</f>
        <v>100696</v>
      </c>
      <c r="G45" s="163">
        <f t="shared" ref="G45:J45" si="29">SUM(G41:G44)</f>
        <v>100696</v>
      </c>
      <c r="H45" s="163">
        <f t="shared" si="29"/>
        <v>100696</v>
      </c>
      <c r="I45" s="163">
        <f t="shared" si="29"/>
        <v>100696</v>
      </c>
      <c r="J45" s="163">
        <f t="shared" si="29"/>
        <v>100696</v>
      </c>
    </row>
    <row r="46" spans="1:10" x14ac:dyDescent="0.2">
      <c r="F46" s="115"/>
      <c r="G46" s="115"/>
      <c r="H46" s="115"/>
      <c r="I46" s="115"/>
      <c r="J46" s="115"/>
    </row>
    <row r="47" spans="1:10" s="4" customFormat="1" ht="17" thickBot="1" x14ac:dyDescent="0.25">
      <c r="A47" s="137" t="s">
        <v>298</v>
      </c>
      <c r="B47" s="143">
        <f>B39+B45</f>
        <v>203609</v>
      </c>
      <c r="C47" s="143">
        <f t="shared" ref="C47:E47" si="30">C39+C45</f>
        <v>203631</v>
      </c>
      <c r="D47" s="143">
        <f t="shared" si="30"/>
        <v>205579</v>
      </c>
      <c r="E47" s="143">
        <f t="shared" si="30"/>
        <v>196219</v>
      </c>
      <c r="F47" s="158">
        <f>F39+F45+F31</f>
        <v>198016.06</v>
      </c>
      <c r="G47" s="158">
        <f t="shared" ref="G47:J47" si="31">G39+G45+G31</f>
        <v>200484.02239999999</v>
      </c>
      <c r="H47" s="158">
        <f t="shared" si="31"/>
        <v>203050.70329599999</v>
      </c>
      <c r="I47" s="158">
        <f t="shared" si="31"/>
        <v>205386.38291135998</v>
      </c>
      <c r="J47" s="158">
        <f t="shared" si="31"/>
        <v>207113.11748414396</v>
      </c>
    </row>
    <row r="48" spans="1:10" ht="17" thickTop="1" x14ac:dyDescent="0.2"/>
    <row r="49" spans="1:10" s="4" customFormat="1" x14ac:dyDescent="0.2">
      <c r="A49" s="4" t="s">
        <v>34</v>
      </c>
      <c r="B49" s="166" t="str">
        <f>IF(B22-B47 = 0, "BALANCED", B22-B47)</f>
        <v>BALANCED</v>
      </c>
      <c r="C49" s="166" t="str">
        <f t="shared" ref="C49:J49" si="32">IF(C22-C47 = 0, "BALANCED", C22-C47)</f>
        <v>BALANCED</v>
      </c>
      <c r="D49" s="166" t="str">
        <f t="shared" si="32"/>
        <v>BALANCED</v>
      </c>
      <c r="E49" s="166" t="str">
        <f t="shared" si="32"/>
        <v>BALANCED</v>
      </c>
      <c r="F49" s="166" t="str">
        <f t="shared" si="32"/>
        <v>BALANCED</v>
      </c>
      <c r="G49" s="166" t="str">
        <f t="shared" si="32"/>
        <v>BALANCED</v>
      </c>
      <c r="H49" s="166" t="str">
        <f t="shared" si="32"/>
        <v>BALANCED</v>
      </c>
      <c r="I49" s="166" t="str">
        <f t="shared" si="32"/>
        <v>BALANCED</v>
      </c>
      <c r="J49" s="166" t="str">
        <f t="shared" si="32"/>
        <v>BALANCED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72B3-FF83-7947-B2E8-1451430B582E}">
  <dimension ref="A1:K21"/>
  <sheetViews>
    <sheetView showGridLines="0" zoomScale="74" zoomScaleNormal="74" workbookViewId="0">
      <selection activeCell="I13" sqref="I13"/>
    </sheetView>
  </sheetViews>
  <sheetFormatPr baseColWidth="10" defaultRowHeight="16" x14ac:dyDescent="0.2"/>
  <cols>
    <col min="1" max="1" width="39.5" customWidth="1"/>
    <col min="2" max="2" width="15.5" customWidth="1"/>
    <col min="3" max="5" width="11.6640625" bestFit="1" customWidth="1"/>
    <col min="6" max="6" width="12.83203125" bestFit="1" customWidth="1"/>
  </cols>
  <sheetData>
    <row r="1" spans="1:11" ht="27" customHeight="1" x14ac:dyDescent="0.2">
      <c r="A1" s="140" t="s">
        <v>306</v>
      </c>
      <c r="B1" s="110"/>
      <c r="C1" s="121" t="s">
        <v>0</v>
      </c>
      <c r="D1" s="121" t="s">
        <v>1</v>
      </c>
      <c r="E1" s="121" t="s">
        <v>2</v>
      </c>
      <c r="F1" s="121" t="s">
        <v>3</v>
      </c>
      <c r="G1" s="121" t="s">
        <v>288</v>
      </c>
      <c r="H1" s="121" t="s">
        <v>4</v>
      </c>
      <c r="I1" s="121" t="s">
        <v>5</v>
      </c>
      <c r="J1" s="121" t="s">
        <v>6</v>
      </c>
      <c r="K1" s="121" t="s">
        <v>7</v>
      </c>
    </row>
    <row r="3" spans="1:11" ht="22" customHeight="1" x14ac:dyDescent="0.2">
      <c r="A3" s="120" t="s">
        <v>35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x14ac:dyDescent="0.2">
      <c r="A4" s="114" t="s">
        <v>78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</row>
    <row r="5" spans="1:11" x14ac:dyDescent="0.2">
      <c r="A5" s="111"/>
      <c r="B5" s="117"/>
      <c r="C5" s="117"/>
      <c r="D5" s="117"/>
      <c r="E5" s="117"/>
      <c r="F5" s="117"/>
      <c r="G5" s="117"/>
    </row>
    <row r="6" spans="1:11" x14ac:dyDescent="0.2">
      <c r="A6" s="181" t="s">
        <v>307</v>
      </c>
      <c r="B6" s="167"/>
      <c r="C6" s="168">
        <f>'Income Statement Forecast'!B23</f>
        <v>2536</v>
      </c>
      <c r="D6" s="168">
        <f>'Income Statement Forecast'!C23</f>
        <v>3553</v>
      </c>
      <c r="E6" s="168">
        <f>'Income Statement Forecast'!D23</f>
        <v>3390</v>
      </c>
      <c r="F6" s="168">
        <f>'Income Statement Forecast'!E23</f>
        <v>5773</v>
      </c>
      <c r="G6" s="169">
        <f>'Income Statement Forecast'!F23</f>
        <v>8572.605413235</v>
      </c>
      <c r="H6" s="169">
        <f>'Income Statement Forecast'!G23</f>
        <v>10410.398475237202</v>
      </c>
      <c r="I6" s="169">
        <f>'Income Statement Forecast'!H23</f>
        <v>11798.550607918591</v>
      </c>
      <c r="J6" s="169">
        <f>'Income Statement Forecast'!I23</f>
        <v>12213.286942498242</v>
      </c>
      <c r="K6" s="169">
        <f>'Income Statement Forecast'!J23</f>
        <v>14166.968047875609</v>
      </c>
    </row>
    <row r="7" spans="1:11" x14ac:dyDescent="0.2">
      <c r="A7" s="111" t="s">
        <v>73</v>
      </c>
      <c r="B7" s="118"/>
      <c r="C7" s="141">
        <f>-'Income Statement Forecast'!B13</f>
        <v>5111</v>
      </c>
      <c r="D7" s="141">
        <f>-'Income Statement Forecast'!C13</f>
        <v>5163</v>
      </c>
      <c r="E7" s="141">
        <f>-'Income Statement Forecast'!D13</f>
        <v>5369</v>
      </c>
      <c r="F7" s="141">
        <f>-'Income Statement Forecast'!E13</f>
        <v>4990</v>
      </c>
      <c r="G7" s="133">
        <f>-'Income Statement Forecast'!F13</f>
        <v>5139.7000000000007</v>
      </c>
      <c r="H7" s="133">
        <f>-'Income Statement Forecast'!G13</f>
        <v>5345.2880000000005</v>
      </c>
      <c r="I7" s="133">
        <f>-'Income Statement Forecast'!H13</f>
        <v>5559.0995200000007</v>
      </c>
      <c r="J7" s="133">
        <f>-'Income Statement Forecast'!I13</f>
        <v>5753.6680031999995</v>
      </c>
      <c r="K7" s="133">
        <f>-'Income Statement Forecast'!J13</f>
        <v>5897.5097032799986</v>
      </c>
    </row>
    <row r="8" spans="1:11" s="31" customFormat="1" x14ac:dyDescent="0.2">
      <c r="A8" s="131" t="s">
        <v>17</v>
      </c>
      <c r="B8" s="138"/>
      <c r="C8" s="141" cm="1">
        <f t="array" ref="C8">INDEX('Cash Flow Statement'!$B$11:$E$11,7-COLUMN())</f>
        <v>2194</v>
      </c>
      <c r="D8" s="141" cm="1">
        <f t="array" ref="D8">INDEX('Cash Flow Statement'!$B$11:$E$11,7-COLUMN())</f>
        <v>488</v>
      </c>
      <c r="E8" s="141" cm="1">
        <f t="array" ref="E8">INDEX('Cash Flow Statement'!$B$11:$E$11,7-COLUMN())</f>
        <v>177</v>
      </c>
      <c r="F8" s="141" cm="1">
        <f t="array" ref="F8">INDEX('Cash Flow Statement'!$B$11:$E$11,7-COLUMN())</f>
        <v>-1613</v>
      </c>
      <c r="G8" s="139">
        <f>('Balance Sheet Forecast'!F11-'Balance Sheet Forecast'!E11)-('Balance Sheet Forecast'!F29-'Balance Sheet Forecast'!E29)</f>
        <v>-254.55000000000291</v>
      </c>
      <c r="H8" s="139">
        <f>('Balance Sheet Forecast'!G11-'Balance Sheet Forecast'!F11)-('Balance Sheet Forecast'!G29-'Balance Sheet Forecast'!F29)</f>
        <v>-349.58199999999488</v>
      </c>
      <c r="I8" s="139">
        <f>('Balance Sheet Forecast'!H11-'Balance Sheet Forecast'!G11)-('Balance Sheet Forecast'!H29-'Balance Sheet Forecast'!G29)</f>
        <v>-363.56528000000253</v>
      </c>
      <c r="J8" s="139">
        <f>('Balance Sheet Forecast'!I11-'Balance Sheet Forecast'!H11)-('Balance Sheet Forecast'!I29-'Balance Sheet Forecast'!H29)</f>
        <v>-330.8444047999983</v>
      </c>
      <c r="K8" s="139">
        <f>('Balance Sheet Forecast'!J11-'Balance Sheet Forecast'!I11)-('Balance Sheet Forecast'!J29-'Balance Sheet Forecast'!I29)</f>
        <v>-244.58854211999642</v>
      </c>
    </row>
    <row r="9" spans="1:11" s="31" customFormat="1" x14ac:dyDescent="0.2">
      <c r="A9" s="129" t="s">
        <v>37</v>
      </c>
      <c r="B9" s="130"/>
      <c r="C9" s="170">
        <f>SUM(C6:C8)</f>
        <v>9841</v>
      </c>
      <c r="D9" s="170">
        <f>SUM(D6:D8)</f>
        <v>9204</v>
      </c>
      <c r="E9" s="170">
        <f>SUM(E6:E8)</f>
        <v>8936</v>
      </c>
      <c r="F9" s="170">
        <f>SUM(F6:F8)</f>
        <v>9150</v>
      </c>
      <c r="G9" s="171">
        <f t="shared" ref="G9:K9" si="0">SUM(G6:G8)</f>
        <v>13457.755413234998</v>
      </c>
      <c r="H9" s="171">
        <f t="shared" si="0"/>
        <v>15406.104475237207</v>
      </c>
      <c r="I9" s="171">
        <f t="shared" si="0"/>
        <v>16994.084847918588</v>
      </c>
      <c r="J9" s="171">
        <f t="shared" si="0"/>
        <v>17636.110540898244</v>
      </c>
      <c r="K9" s="171">
        <f t="shared" si="0"/>
        <v>19819.889209035613</v>
      </c>
    </row>
    <row r="10" spans="1:11" s="31" customFormat="1" x14ac:dyDescent="0.2">
      <c r="A10" s="111"/>
      <c r="B10" s="118"/>
      <c r="C10" s="118"/>
      <c r="D10" s="118"/>
      <c r="E10" s="118"/>
      <c r="F10" s="118"/>
    </row>
    <row r="11" spans="1:11" s="31" customFormat="1" x14ac:dyDescent="0.2">
      <c r="A11" s="131" t="s">
        <v>38</v>
      </c>
      <c r="B11" s="118"/>
      <c r="C11" s="141" cm="1">
        <f t="array" ref="C11">INDEX('Cash Flow Statement'!$B$19:$E$19,7-COLUMN())</f>
        <v>-3578</v>
      </c>
      <c r="D11" s="141" cm="1">
        <f t="array" ref="D11">INDEX('Cash Flow Statement'!$B$19:$E$19,7-COLUMN())</f>
        <v>-4943</v>
      </c>
      <c r="E11" s="141" cm="1">
        <f t="array" ref="E11">INDEX('Cash Flow Statement'!$B$19:$E$19,7-COLUMN())</f>
        <v>-4969</v>
      </c>
      <c r="F11" s="141" cm="1">
        <f t="array" ref="F11">INDEX('Cash Flow Statement'!$B$19:$E$19,7-COLUMN())</f>
        <v>-5412</v>
      </c>
      <c r="G11" s="133">
        <f>-'Income Statement Forecast'!F6*CHOOSE('DCF Valuation'!$I$33, 'Forecasted Assumptions'!F96, 'Forecasted Assumptions'!F97, 'Forecasted Assumptions'!F98)</f>
        <v>-5574.36</v>
      </c>
      <c r="H11" s="133">
        <f>-'Income Statement Forecast'!G6*'Forecasted Assumptions'!G96</f>
        <v>-5797.3343999999997</v>
      </c>
      <c r="I11" s="133">
        <f>-'Income Statement Forecast'!H6*'Forecasted Assumptions'!H96</f>
        <v>-6029.2277759999997</v>
      </c>
      <c r="J11" s="133">
        <f>-'Income Statement Forecast'!I6*'Forecasted Assumptions'!I96</f>
        <v>-6240.2507481599987</v>
      </c>
      <c r="K11" s="133">
        <f>-'Income Statement Forecast'!J6*'Forecasted Assumptions'!J96</f>
        <v>-6396.2570168639986</v>
      </c>
    </row>
    <row r="12" spans="1:11" s="31" customFormat="1" x14ac:dyDescent="0.2">
      <c r="A12" s="131" t="s">
        <v>304</v>
      </c>
      <c r="B12" s="118"/>
      <c r="C12" s="141" cm="1">
        <f t="array" ref="C12">INDEX('Cash Flow Statement'!$B$21:$E$21,7-COLUMN())</f>
        <v>415</v>
      </c>
      <c r="D12" s="141" cm="1">
        <f t="array" ref="D12">INDEX('Cash Flow Statement'!$B$21:$E$21,7-COLUMN())</f>
        <v>-65</v>
      </c>
      <c r="E12" s="141" cm="1">
        <f t="array" ref="E12">INDEX('Cash Flow Statement'!$B$21:$E$21,7-COLUMN())</f>
        <v>328</v>
      </c>
      <c r="F12" s="141" cm="1">
        <f t="array" ref="F12">INDEX('Cash Flow Statement'!$B$21:$E$21,7-COLUMN())</f>
        <v>-1469</v>
      </c>
      <c r="G12" s="133">
        <f>F12</f>
        <v>-1469</v>
      </c>
      <c r="H12" s="133">
        <f t="shared" ref="H12:K12" si="1">G12</f>
        <v>-1469</v>
      </c>
      <c r="I12" s="133">
        <f t="shared" si="1"/>
        <v>-1469</v>
      </c>
      <c r="J12" s="133">
        <f t="shared" si="1"/>
        <v>-1469</v>
      </c>
      <c r="K12" s="133">
        <f t="shared" si="1"/>
        <v>-1469</v>
      </c>
    </row>
    <row r="13" spans="1:11" s="31" customFormat="1" x14ac:dyDescent="0.2">
      <c r="A13" s="32" t="s">
        <v>39</v>
      </c>
      <c r="B13" s="130"/>
      <c r="C13" s="170">
        <f>SUM(C11:C12)</f>
        <v>-3163</v>
      </c>
      <c r="D13" s="170">
        <f t="shared" ref="D13:F13" si="2">SUM(D11:D12)</f>
        <v>-5008</v>
      </c>
      <c r="E13" s="170">
        <f t="shared" si="2"/>
        <v>-4641</v>
      </c>
      <c r="F13" s="170">
        <f t="shared" si="2"/>
        <v>-6881</v>
      </c>
      <c r="G13" s="171">
        <f>SUM(G11:G12)</f>
        <v>-7043.36</v>
      </c>
      <c r="H13" s="171">
        <f t="shared" ref="H13:K13" si="3">SUM(H11:H12)</f>
        <v>-7266.3343999999997</v>
      </c>
      <c r="I13" s="171">
        <f t="shared" si="3"/>
        <v>-7498.2277759999997</v>
      </c>
      <c r="J13" s="171">
        <f t="shared" si="3"/>
        <v>-7709.2507481599987</v>
      </c>
      <c r="K13" s="171">
        <f t="shared" si="3"/>
        <v>-7865.2570168639986</v>
      </c>
    </row>
    <row r="14" spans="1:11" s="31" customFormat="1" x14ac:dyDescent="0.2">
      <c r="A14" s="131"/>
      <c r="B14" s="118"/>
      <c r="C14" s="118"/>
      <c r="D14" s="118"/>
      <c r="E14" s="118"/>
      <c r="F14" s="118"/>
      <c r="G14" s="118"/>
    </row>
    <row r="15" spans="1:11" s="31" customFormat="1" x14ac:dyDescent="0.2">
      <c r="A15" s="131" t="s">
        <v>305</v>
      </c>
      <c r="B15" s="118"/>
      <c r="C15" s="141" cm="1">
        <f t="array" ref="C15">INDEX('Cash Flow Statement'!$B$30:$E$30,7-COLUMN())</f>
        <v>0</v>
      </c>
      <c r="D15" s="141" cm="1">
        <f t="array" ref="D15">INDEX('Cash Flow Statement'!$B$30:$E$30,7-COLUMN())</f>
        <v>0</v>
      </c>
      <c r="E15" s="141" t="str" cm="1">
        <f t="array" ref="E15">INDEX('Cash Flow Statement'!$B$30:$E$30,7-COLUMN())</f>
        <v>--</v>
      </c>
      <c r="F15" s="141" cm="1">
        <f t="array" ref="F15">INDEX('Cash Flow Statement'!$B$30:$E$30,7-COLUMN())</f>
        <v>-1366</v>
      </c>
      <c r="G15" s="133">
        <f>-'Income Statement Forecast'!F6*CHOOSE('DCF Valuation'!$I$33, 'Forecasted Assumptions'!F101, 'Forecasted Assumptions'!F102, 'Forecasted Assumptions'!F103)</f>
        <v>-1406.98</v>
      </c>
      <c r="H15" s="133">
        <f>-'Income Statement Forecast'!G6*CHOOSE('DCF Valuation'!$I$33, 'Forecasted Assumptions'!G101, 'Forecasted Assumptions'!G102, 'Forecasted Assumptions'!G103)</f>
        <v>-1463.2592</v>
      </c>
      <c r="I15" s="133">
        <f>-'Income Statement Forecast'!H6*CHOOSE('DCF Valuation'!$I$33, 'Forecasted Assumptions'!H101, 'Forecasted Assumptions'!H102, 'Forecasted Assumptions'!H103)</f>
        <v>-1521.7895680000001</v>
      </c>
      <c r="J15" s="133">
        <f>-'Income Statement Forecast'!I6*CHOOSE('DCF Valuation'!$I$33, 'Forecasted Assumptions'!I101, 'Forecasted Assumptions'!I102, 'Forecasted Assumptions'!I103)</f>
        <v>-1575.0522028799999</v>
      </c>
      <c r="K15" s="133">
        <f>-'Income Statement Forecast'!J6*CHOOSE('DCF Valuation'!$I$33, 'Forecasted Assumptions'!J101, 'Forecasted Assumptions'!J102, 'Forecasted Assumptions'!J103)</f>
        <v>-1614.4285079519996</v>
      </c>
    </row>
    <row r="16" spans="1:11" s="31" customFormat="1" ht="18" x14ac:dyDescent="0.25">
      <c r="A16" s="131" t="s">
        <v>272</v>
      </c>
      <c r="B16" s="132"/>
      <c r="C16" s="141" cm="1">
        <f t="array" ref="C16">INDEX('Cash Flow Statement'!$B$32:$E$32,7-COLUMN())</f>
        <v>435</v>
      </c>
      <c r="D16" s="141" cm="1">
        <f t="array" ref="D16">INDEX('Cash Flow Statement'!$B$32:$E$32,7-COLUMN())</f>
        <v>127</v>
      </c>
      <c r="E16" s="141" cm="1">
        <f t="array" ref="E16">INDEX('Cash Flow Statement'!$B$32:$E$32,7-COLUMN())</f>
        <v>52</v>
      </c>
      <c r="F16" s="141" cm="1">
        <f t="array" ref="F16">INDEX('Cash Flow Statement'!$B$32:$E$32,7-COLUMN())</f>
        <v>-2992</v>
      </c>
      <c r="G16" s="133">
        <f>F16</f>
        <v>-2992</v>
      </c>
      <c r="H16" s="133">
        <f t="shared" ref="H16:K16" si="4">G16</f>
        <v>-2992</v>
      </c>
      <c r="I16" s="133">
        <f t="shared" si="4"/>
        <v>-2992</v>
      </c>
      <c r="J16" s="133">
        <f t="shared" si="4"/>
        <v>-2992</v>
      </c>
      <c r="K16" s="133">
        <f t="shared" si="4"/>
        <v>-2992</v>
      </c>
    </row>
    <row r="17" spans="1:11" s="31" customFormat="1" ht="18" x14ac:dyDescent="0.25">
      <c r="A17" s="131" t="s">
        <v>276</v>
      </c>
      <c r="B17" s="132"/>
      <c r="C17" s="141" cm="1">
        <f t="array" ref="C17">INDEX('Cash Flow Statement'!$B$36:$E$36,7-COLUMN())</f>
        <v>-3699</v>
      </c>
      <c r="D17" s="141" cm="1">
        <f t="array" ref="D17">INDEX('Cash Flow Statement'!$B$36:$E$36,7-COLUMN())</f>
        <v>-4017</v>
      </c>
      <c r="E17" s="141" cm="1">
        <f t="array" ref="E17">INDEX('Cash Flow Statement'!$B$36:$E$36,7-COLUMN())</f>
        <v>-1783</v>
      </c>
      <c r="F17" s="141" cm="1">
        <f t="array" ref="F17">INDEX('Cash Flow Statement'!$B$36:$E$36,7-COLUMN())</f>
        <v>-1400</v>
      </c>
      <c r="G17" s="133">
        <f>F17</f>
        <v>-1400</v>
      </c>
      <c r="H17" s="133">
        <f t="shared" ref="H17:K17" si="5">G17</f>
        <v>-1400</v>
      </c>
      <c r="I17" s="133">
        <f t="shared" si="5"/>
        <v>-1400</v>
      </c>
      <c r="J17" s="133">
        <f t="shared" si="5"/>
        <v>-1400</v>
      </c>
      <c r="K17" s="133">
        <f t="shared" si="5"/>
        <v>-1400</v>
      </c>
    </row>
    <row r="18" spans="1:11" s="31" customFormat="1" x14ac:dyDescent="0.2">
      <c r="A18" s="129" t="s">
        <v>40</v>
      </c>
      <c r="B18" s="130"/>
      <c r="C18" s="182">
        <f t="shared" ref="C18:K18" si="6">SUM(C15:C17)</f>
        <v>-3264</v>
      </c>
      <c r="D18" s="182">
        <f t="shared" si="6"/>
        <v>-3890</v>
      </c>
      <c r="E18" s="182">
        <f t="shared" si="6"/>
        <v>-1731</v>
      </c>
      <c r="F18" s="182">
        <f t="shared" si="6"/>
        <v>-5758</v>
      </c>
      <c r="G18" s="134">
        <f t="shared" si="6"/>
        <v>-5798.98</v>
      </c>
      <c r="H18" s="134">
        <f t="shared" si="6"/>
        <v>-5855.2592000000004</v>
      </c>
      <c r="I18" s="134">
        <f t="shared" si="6"/>
        <v>-5913.7895680000001</v>
      </c>
      <c r="J18" s="134">
        <f t="shared" si="6"/>
        <v>-5967.0522028799996</v>
      </c>
      <c r="K18" s="134">
        <f t="shared" si="6"/>
        <v>-6006.4285079519996</v>
      </c>
    </row>
    <row r="19" spans="1:11" x14ac:dyDescent="0.2">
      <c r="A19" s="122" t="s">
        <v>283</v>
      </c>
      <c r="B19" s="119"/>
      <c r="C19" s="183" cm="1">
        <f t="array" ref="C19">INDEX('Cash Flow Statement'!$B$43:$E$43,7-COLUMN())</f>
        <v>30</v>
      </c>
      <c r="D19" s="183" cm="1">
        <f t="array" ref="D19">INDEX('Cash Flow Statement'!$B$43:$E$43,7-COLUMN())</f>
        <v>-603</v>
      </c>
      <c r="E19" s="183" cm="1">
        <f t="array" ref="E19">INDEX('Cash Flow Statement'!$B$43:$E$43,7-COLUMN())</f>
        <v>73</v>
      </c>
      <c r="F19" s="183" cm="1">
        <f t="array" ref="F19">INDEX('Cash Flow Statement'!$B$43:$E$43,7-COLUMN())</f>
        <v>65</v>
      </c>
      <c r="G19" s="184">
        <f>F19</f>
        <v>65</v>
      </c>
      <c r="H19" s="184">
        <f t="shared" ref="H19:K19" si="7">G19</f>
        <v>65</v>
      </c>
      <c r="I19" s="184">
        <f t="shared" si="7"/>
        <v>65</v>
      </c>
      <c r="J19" s="184">
        <f t="shared" si="7"/>
        <v>65</v>
      </c>
      <c r="K19" s="184">
        <f t="shared" si="7"/>
        <v>65</v>
      </c>
    </row>
    <row r="20" spans="1:11" s="4" customFormat="1" ht="17" thickBot="1" x14ac:dyDescent="0.25">
      <c r="A20" s="135" t="s">
        <v>76</v>
      </c>
      <c r="B20" s="136"/>
      <c r="C20" s="172">
        <f>C9+C13+C18+C19</f>
        <v>3444</v>
      </c>
      <c r="D20" s="172">
        <f>D9+D13+D18+D19</f>
        <v>-297</v>
      </c>
      <c r="E20" s="172">
        <f>E9+E13+E18+E19</f>
        <v>2637</v>
      </c>
      <c r="F20" s="172">
        <f>F9+F13+F18+F19</f>
        <v>-3424</v>
      </c>
      <c r="G20" s="173">
        <f>G9+G13+G18</f>
        <v>615.4154132349986</v>
      </c>
      <c r="H20" s="173">
        <f t="shared" ref="H20:K20" si="8">H9+H13+H18</f>
        <v>2284.5108752372071</v>
      </c>
      <c r="I20" s="173">
        <f t="shared" si="8"/>
        <v>3582.067503918588</v>
      </c>
      <c r="J20" s="173">
        <f t="shared" si="8"/>
        <v>3959.8075898582456</v>
      </c>
      <c r="K20" s="173">
        <f t="shared" si="8"/>
        <v>5948.2036842196158</v>
      </c>
    </row>
    <row r="21" spans="1:11" ht="17" thickTop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998"/>
  <sheetViews>
    <sheetView showGridLines="0" workbookViewId="0">
      <pane xSplit="2" topLeftCell="C1" activePane="topRight" state="frozen"/>
      <selection pane="topRight" activeCell="K2" sqref="K2"/>
    </sheetView>
  </sheetViews>
  <sheetFormatPr baseColWidth="10" defaultColWidth="11.1640625" defaultRowHeight="15" customHeight="1" x14ac:dyDescent="0.2"/>
  <cols>
    <col min="1" max="1" width="4.5" customWidth="1"/>
    <col min="2" max="2" width="36" customWidth="1"/>
    <col min="3" max="7" width="11.1640625" customWidth="1"/>
    <col min="8" max="19" width="9.5" customWidth="1"/>
  </cols>
  <sheetData>
    <row r="2" spans="2:19" ht="15.75" customHeight="1" x14ac:dyDescent="0.2">
      <c r="B2" s="86" t="s">
        <v>52</v>
      </c>
      <c r="C2" s="80" t="s">
        <v>0</v>
      </c>
      <c r="D2" s="80" t="s">
        <v>1</v>
      </c>
      <c r="E2" s="80" t="s">
        <v>2</v>
      </c>
      <c r="F2" s="80" t="s">
        <v>3</v>
      </c>
      <c r="G2" s="80" t="s">
        <v>288</v>
      </c>
      <c r="H2" s="80" t="s">
        <v>4</v>
      </c>
      <c r="I2" s="80" t="s">
        <v>5</v>
      </c>
      <c r="J2" s="80" t="s">
        <v>6</v>
      </c>
      <c r="K2" s="80" t="s">
        <v>7</v>
      </c>
      <c r="L2" s="13"/>
      <c r="M2" s="13"/>
      <c r="N2" s="13"/>
      <c r="O2" s="13"/>
      <c r="P2" s="13"/>
      <c r="Q2" s="6"/>
      <c r="R2" s="6"/>
      <c r="S2" s="6"/>
    </row>
    <row r="3" spans="2:19" ht="15.75" customHeight="1" x14ac:dyDescent="0.2">
      <c r="B3" s="84"/>
      <c r="C3" s="78"/>
      <c r="D3" s="78"/>
      <c r="E3" s="78"/>
      <c r="F3" s="78"/>
      <c r="G3" s="78"/>
      <c r="H3" s="78"/>
      <c r="I3" s="78"/>
      <c r="J3" s="78"/>
      <c r="K3" s="78"/>
      <c r="L3" s="1"/>
      <c r="M3" s="1"/>
      <c r="N3" s="1"/>
      <c r="O3" s="1"/>
      <c r="P3" s="1"/>
      <c r="Q3" s="7"/>
      <c r="R3" s="6"/>
      <c r="S3" s="6"/>
    </row>
    <row r="4" spans="2:19" ht="15.75" customHeight="1" x14ac:dyDescent="0.2">
      <c r="B4" s="88" t="s">
        <v>117</v>
      </c>
      <c r="C4" s="14"/>
      <c r="D4" s="14"/>
      <c r="E4" s="14"/>
      <c r="F4" s="14"/>
      <c r="G4" s="14"/>
      <c r="H4" s="14"/>
      <c r="I4" s="14"/>
      <c r="J4" s="14"/>
      <c r="K4" s="14"/>
      <c r="L4" s="15"/>
      <c r="M4" s="15"/>
      <c r="N4" s="15"/>
      <c r="O4" s="15"/>
      <c r="P4" s="15"/>
      <c r="Q4" s="7"/>
      <c r="R4" s="6"/>
      <c r="S4" s="6"/>
    </row>
    <row r="5" spans="2:19" ht="15.75" customHeight="1" x14ac:dyDescent="0.2">
      <c r="B5" s="84" t="s">
        <v>53</v>
      </c>
      <c r="C5" s="85">
        <f>'Balance Sheet Forecast'!B11/'Balance Sheet Forecast'!B29</f>
        <v>1.0830195964861473</v>
      </c>
      <c r="D5" s="85">
        <f>'Balance Sheet Forecast'!C11/'Balance Sheet Forecast'!C29</f>
        <v>1.000859904378633</v>
      </c>
      <c r="E5" s="85">
        <f>'Balance Sheet Forecast'!D11/'Balance Sheet Forecast'!D29</f>
        <v>1.0521532483380969</v>
      </c>
      <c r="F5" s="85">
        <f>'Balance Sheet Forecast'!E11/'Balance Sheet Forecast'!E29</f>
        <v>0.72952975519523688</v>
      </c>
      <c r="G5" s="225">
        <f>'Balance Sheet Forecast'!F11/'Balance Sheet Forecast'!F29</f>
        <v>0.72869447756071559</v>
      </c>
      <c r="H5" s="225">
        <f>'Balance Sheet Forecast'!G11/'Balance Sheet Forecast'!G29</f>
        <v>0.72760927606690551</v>
      </c>
      <c r="I5" s="225">
        <f>'Balance Sheet Forecast'!H11/'Balance Sheet Forecast'!H29</f>
        <v>0.72655031072735898</v>
      </c>
      <c r="J5" s="225">
        <f>'Balance Sheet Forecast'!I11/'Balance Sheet Forecast'!I29</f>
        <v>0.725642943765203</v>
      </c>
      <c r="K5" s="225">
        <f>'Balance Sheet Forecast'!J11/'Balance Sheet Forecast'!J29</f>
        <v>0.72500395658034722</v>
      </c>
      <c r="L5" s="16"/>
      <c r="M5" s="16"/>
      <c r="N5" s="16"/>
      <c r="O5" s="16"/>
      <c r="P5" s="16"/>
      <c r="Q5" s="7"/>
      <c r="R5" s="6"/>
      <c r="S5" s="6"/>
    </row>
    <row r="6" spans="2:19" ht="15.75" customHeight="1" x14ac:dyDescent="0.2">
      <c r="B6" s="84"/>
      <c r="C6" s="85"/>
      <c r="D6" s="85"/>
      <c r="E6" s="85"/>
      <c r="F6" s="85"/>
      <c r="G6" s="195"/>
      <c r="H6" s="195"/>
      <c r="I6" s="195"/>
      <c r="J6" s="195"/>
      <c r="K6" s="195"/>
      <c r="L6" s="15"/>
      <c r="M6" s="15"/>
      <c r="N6" s="15"/>
      <c r="O6" s="15"/>
      <c r="P6" s="15"/>
      <c r="Q6" s="7"/>
      <c r="R6" s="6"/>
      <c r="S6" s="6"/>
    </row>
    <row r="7" spans="2:19" ht="15.75" customHeight="1" x14ac:dyDescent="0.2">
      <c r="B7" s="89" t="s">
        <v>118</v>
      </c>
      <c r="C7" s="85"/>
      <c r="D7" s="85"/>
      <c r="E7" s="85"/>
      <c r="F7" s="85"/>
      <c r="G7" s="195"/>
      <c r="H7" s="195"/>
      <c r="I7" s="195"/>
      <c r="J7" s="195"/>
      <c r="K7" s="195"/>
      <c r="L7" s="15"/>
      <c r="M7" s="15"/>
      <c r="N7" s="15"/>
      <c r="O7" s="15"/>
      <c r="P7" s="15"/>
      <c r="Q7" s="7"/>
      <c r="R7" s="6"/>
      <c r="S7" s="6"/>
    </row>
    <row r="8" spans="2:19" ht="15.75" customHeight="1" x14ac:dyDescent="0.2">
      <c r="B8" s="84" t="s">
        <v>54</v>
      </c>
      <c r="C8" s="85">
        <f>'Income Statement Forecast'!B6/'Balance Sheet Forecast'!B7</f>
        <v>5.0436148724470709</v>
      </c>
      <c r="D8" s="85">
        <f>'Income Statement Forecast'!C6/'Balance Sheet Forecast'!C7</f>
        <v>6.5382548213721154</v>
      </c>
      <c r="E8" s="85">
        <f>'Income Statement Forecast'!D6/'Balance Sheet Forecast'!D7</f>
        <v>7.2098945660989457</v>
      </c>
      <c r="F8" s="85">
        <f>'Income Statement Forecast'!E6/'Balance Sheet Forecast'!E7</f>
        <v>7.1773902113284622</v>
      </c>
      <c r="G8" s="225">
        <f>'Income Statement Forecast'!F6/'Balance Sheet Forecast'!F7</f>
        <v>7.1773902113284631</v>
      </c>
      <c r="H8" s="225">
        <f>'Income Statement Forecast'!G6/'Balance Sheet Forecast'!G7</f>
        <v>7.1773902113284631</v>
      </c>
      <c r="I8" s="225">
        <f>'Income Statement Forecast'!H6/'Balance Sheet Forecast'!H7</f>
        <v>7.1773902113284622</v>
      </c>
      <c r="J8" s="225">
        <f>'Income Statement Forecast'!I6/'Balance Sheet Forecast'!I7</f>
        <v>7.1773902113284631</v>
      </c>
      <c r="K8" s="225">
        <f>'Income Statement Forecast'!J6/'Balance Sheet Forecast'!J7</f>
        <v>7.1773902113284631</v>
      </c>
      <c r="L8" s="16"/>
      <c r="M8" s="16"/>
      <c r="N8" s="16"/>
      <c r="O8" s="16"/>
      <c r="P8" s="16"/>
      <c r="Q8" s="7"/>
      <c r="R8" s="6"/>
      <c r="S8" s="6"/>
    </row>
    <row r="9" spans="2:19" ht="15.75" customHeight="1" x14ac:dyDescent="0.2">
      <c r="B9" s="84" t="s">
        <v>55</v>
      </c>
      <c r="C9" s="85">
        <f>365/C8</f>
        <v>72.368729419442886</v>
      </c>
      <c r="D9" s="85">
        <f t="shared" ref="D9:K9" si="0">365/D8</f>
        <v>55.82529435942071</v>
      </c>
      <c r="E9" s="85">
        <f t="shared" si="0"/>
        <v>50.624873450471327</v>
      </c>
      <c r="F9" s="85">
        <f t="shared" si="0"/>
        <v>50.854139074659869</v>
      </c>
      <c r="G9" s="225">
        <f t="shared" si="0"/>
        <v>50.854139074659862</v>
      </c>
      <c r="H9" s="225">
        <f t="shared" si="0"/>
        <v>50.854139074659862</v>
      </c>
      <c r="I9" s="225">
        <f t="shared" si="0"/>
        <v>50.854139074659869</v>
      </c>
      <c r="J9" s="225">
        <f t="shared" si="0"/>
        <v>50.854139074659862</v>
      </c>
      <c r="K9" s="225">
        <f t="shared" si="0"/>
        <v>50.854139074659862</v>
      </c>
      <c r="L9" s="16"/>
      <c r="M9" s="16"/>
      <c r="N9" s="16"/>
      <c r="O9" s="16"/>
      <c r="P9" s="16"/>
      <c r="Q9" s="7"/>
      <c r="R9" s="6"/>
      <c r="S9" s="6"/>
    </row>
    <row r="10" spans="2:19" ht="15.75" customHeight="1" x14ac:dyDescent="0.2">
      <c r="B10" s="84" t="s">
        <v>56</v>
      </c>
      <c r="C10" s="85">
        <f>'Income Statement Forecast'!B6/'Balance Sheet Forecast'!B15</f>
        <v>1.8292768959435626</v>
      </c>
      <c r="D10" s="85">
        <f>'Income Statement Forecast'!C6/'Balance Sheet Forecast'!C15</f>
        <v>2.1846560147893834</v>
      </c>
      <c r="E10" s="85">
        <f>'Income Statement Forecast'!D6/'Balance Sheet Forecast'!D15</f>
        <v>2.2538346474659634</v>
      </c>
      <c r="F10" s="85">
        <f>'Income Statement Forecast'!E6/'Balance Sheet Forecast'!E15</f>
        <v>2.2467845461476035</v>
      </c>
      <c r="G10" s="225">
        <f>'Income Statement Forecast'!F6/'Balance Sheet Forecast'!F15</f>
        <v>2.2467845461476035</v>
      </c>
      <c r="H10" s="225">
        <f>'Income Statement Forecast'!G6/'Balance Sheet Forecast'!G15</f>
        <v>2.2467845461476035</v>
      </c>
      <c r="I10" s="225">
        <f>'Income Statement Forecast'!H6/'Balance Sheet Forecast'!H15</f>
        <v>2.2467845461476035</v>
      </c>
      <c r="J10" s="225">
        <f>'Income Statement Forecast'!I6/'Balance Sheet Forecast'!I15</f>
        <v>2.2467845461476035</v>
      </c>
      <c r="K10" s="225">
        <f>'Income Statement Forecast'!J6/'Balance Sheet Forecast'!J15</f>
        <v>2.2467845461476035</v>
      </c>
      <c r="L10" s="16"/>
      <c r="M10" s="16"/>
      <c r="N10" s="16"/>
      <c r="O10" s="16"/>
      <c r="P10" s="16"/>
      <c r="Q10" s="7"/>
      <c r="R10" s="6"/>
      <c r="S10" s="6"/>
    </row>
    <row r="11" spans="2:19" ht="15.75" customHeight="1" x14ac:dyDescent="0.2">
      <c r="B11" s="84" t="s">
        <v>57</v>
      </c>
      <c r="C11" s="85">
        <f>'Income Statement Forecast'!B6/'Balance Sheet Forecast'!B22</f>
        <v>0.3311150292963474</v>
      </c>
      <c r="D11" s="85">
        <f>'Income Statement Forecast'!C6/'Balance Sheet Forecast'!C22</f>
        <v>0.40623480707750786</v>
      </c>
      <c r="E11" s="85">
        <f>'Income Statement Forecast'!D6/'Balance Sheet Forecast'!D22</f>
        <v>0.4324274366545221</v>
      </c>
      <c r="F11" s="85">
        <f>'Income Statement Forecast'!E6/'Balance Sheet Forecast'!E22</f>
        <v>0.46560730612224094</v>
      </c>
      <c r="G11" s="225">
        <f>'Income Statement Forecast'!F6/'Balance Sheet Forecast'!F22</f>
        <v>0.47522322179322224</v>
      </c>
      <c r="H11" s="225">
        <f>'Income Statement Forecast'!G6/'Balance Sheet Forecast'!G22</f>
        <v>0.48814814282177932</v>
      </c>
      <c r="I11" s="225">
        <f>'Income Statement Forecast'!H6/'Balance Sheet Forecast'!H22</f>
        <v>0.50125676826456489</v>
      </c>
      <c r="J11" s="225">
        <f>'Income Statement Forecast'!I6/'Balance Sheet Forecast'!I22</f>
        <v>0.51290088812724999</v>
      </c>
      <c r="K11" s="225">
        <f>'Income Statement Forecast'!J6/'Balance Sheet Forecast'!J22</f>
        <v>0.52134037173120318</v>
      </c>
      <c r="L11" s="16"/>
      <c r="M11" s="16"/>
      <c r="N11" s="16"/>
      <c r="O11" s="16"/>
      <c r="P11" s="16"/>
      <c r="Q11" s="7"/>
      <c r="R11" s="6"/>
      <c r="S11" s="6"/>
    </row>
    <row r="12" spans="2:19" ht="15.75" customHeight="1" x14ac:dyDescent="0.2">
      <c r="B12" s="84"/>
      <c r="C12" s="85"/>
      <c r="D12" s="85"/>
      <c r="E12" s="85"/>
      <c r="F12" s="85"/>
      <c r="G12" s="195"/>
      <c r="H12" s="195"/>
      <c r="I12" s="195"/>
      <c r="J12" s="195"/>
      <c r="K12" s="195"/>
      <c r="L12" s="15"/>
      <c r="M12" s="15"/>
      <c r="N12" s="15"/>
      <c r="O12" s="15"/>
      <c r="P12" s="15"/>
      <c r="Q12" s="7"/>
      <c r="R12" s="6"/>
      <c r="S12" s="6"/>
    </row>
    <row r="13" spans="2:19" ht="15.75" customHeight="1" x14ac:dyDescent="0.2">
      <c r="B13" s="89" t="s">
        <v>119</v>
      </c>
      <c r="C13" s="85"/>
      <c r="D13" s="85"/>
      <c r="E13" s="85"/>
      <c r="F13" s="85"/>
      <c r="G13" s="195"/>
      <c r="H13" s="195"/>
      <c r="I13" s="195"/>
      <c r="J13" s="195"/>
      <c r="K13" s="195"/>
      <c r="L13" s="15"/>
      <c r="M13" s="15"/>
      <c r="N13" s="15"/>
      <c r="O13" s="15"/>
      <c r="P13" s="15"/>
      <c r="Q13" s="7"/>
      <c r="R13" s="6"/>
      <c r="S13" s="6"/>
    </row>
    <row r="14" spans="2:19" ht="15.75" customHeight="1" x14ac:dyDescent="0.2">
      <c r="B14" s="84" t="s">
        <v>58</v>
      </c>
      <c r="C14" s="85">
        <f>'Balance Sheet Forecast'!B37/'Balance Sheet Forecast'!B22</f>
        <v>0.41245229827758106</v>
      </c>
      <c r="D14" s="85">
        <f>'Balance Sheet Forecast'!C37/'Balance Sheet Forecast'!C22</f>
        <v>0.39065761107100588</v>
      </c>
      <c r="E14" s="85">
        <f>'Balance Sheet Forecast'!D37/'Balance Sheet Forecast'!D22</f>
        <v>0.36561613783509017</v>
      </c>
      <c r="F14" s="85">
        <f>'Balance Sheet Forecast'!E37/'Balance Sheet Forecast'!E22</f>
        <v>0.31048980985531471</v>
      </c>
      <c r="G14" s="225">
        <f>'Balance Sheet Forecast'!F37/'Balance Sheet Forecast'!F22</f>
        <v>0.31002288400243899</v>
      </c>
      <c r="H14" s="225">
        <f>'Balance Sheet Forecast'!G37/'Balance Sheet Forecast'!G22</f>
        <v>0.30939528076826939</v>
      </c>
      <c r="I14" s="225">
        <f>'Balance Sheet Forecast'!H37/'Balance Sheet Forecast'!H22</f>
        <v>0.30875875728737273</v>
      </c>
      <c r="J14" s="225">
        <f>'Balance Sheet Forecast'!I37/'Balance Sheet Forecast'!I22</f>
        <v>0.30819334669269804</v>
      </c>
      <c r="K14" s="225">
        <f>'Balance Sheet Forecast'!J37/'Balance Sheet Forecast'!J22</f>
        <v>0.30778354556564591</v>
      </c>
      <c r="L14" s="16"/>
      <c r="M14" s="16"/>
      <c r="N14" s="16"/>
      <c r="O14" s="16"/>
      <c r="P14" s="16"/>
      <c r="Q14" s="7"/>
      <c r="R14" s="6"/>
      <c r="S14" s="6"/>
    </row>
    <row r="15" spans="2:19" ht="15.75" customHeight="1" x14ac:dyDescent="0.2">
      <c r="B15" s="84"/>
      <c r="C15" s="85"/>
      <c r="D15" s="85"/>
      <c r="E15" s="85"/>
      <c r="F15" s="85"/>
      <c r="G15" s="195"/>
      <c r="H15" s="195"/>
      <c r="I15" s="195"/>
      <c r="J15" s="195"/>
      <c r="K15" s="195"/>
      <c r="L15" s="15"/>
      <c r="M15" s="15"/>
      <c r="N15" s="15"/>
      <c r="O15" s="15"/>
      <c r="P15" s="15"/>
      <c r="Q15" s="7"/>
      <c r="R15" s="6"/>
      <c r="S15" s="6"/>
    </row>
    <row r="16" spans="2:19" ht="15.75" customHeight="1" x14ac:dyDescent="0.2">
      <c r="B16" s="89" t="s">
        <v>120</v>
      </c>
      <c r="C16" s="85"/>
      <c r="D16" s="85"/>
      <c r="E16" s="85"/>
      <c r="F16" s="85"/>
      <c r="G16" s="195"/>
      <c r="H16" s="195"/>
      <c r="I16" s="195"/>
      <c r="J16" s="195"/>
      <c r="K16" s="195"/>
      <c r="L16" s="15"/>
      <c r="M16" s="15"/>
      <c r="N16" s="15"/>
      <c r="O16" s="15"/>
      <c r="P16" s="15"/>
      <c r="Q16" s="7"/>
      <c r="R16" s="6"/>
      <c r="S16" s="6"/>
    </row>
    <row r="17" spans="2:19" ht="15.75" customHeight="1" x14ac:dyDescent="0.2">
      <c r="B17" s="84" t="s">
        <v>59</v>
      </c>
      <c r="C17" s="85">
        <f>'Income Statement Forecast'!B8/'Income Statement Forecast'!B6</f>
        <v>0.33057937049452668</v>
      </c>
      <c r="D17" s="85">
        <f>'Income Statement Forecast'!C8/'Income Statement Forecast'!C6</f>
        <v>0.34236357921713689</v>
      </c>
      <c r="E17" s="85">
        <f>'Income Statement Forecast'!D8/'Income Statement Forecast'!D6</f>
        <v>0.33405700915656145</v>
      </c>
      <c r="F17" s="85">
        <f>'Income Statement Forecast'!E8/'Income Statement Forecast'!E6</f>
        <v>0.35751578901281728</v>
      </c>
      <c r="G17" s="225">
        <f>'Income Statement Forecast'!F8/'Income Statement Forecast'!F6</f>
        <v>0.35000000000000003</v>
      </c>
      <c r="H17" s="225">
        <f>'Income Statement Forecast'!G8/'Income Statement Forecast'!G6</f>
        <v>0.37</v>
      </c>
      <c r="I17" s="225">
        <f>'Income Statement Forecast'!H8/'Income Statement Forecast'!H6</f>
        <v>0.38</v>
      </c>
      <c r="J17" s="225">
        <f>'Income Statement Forecast'!I8/'Income Statement Forecast'!I6</f>
        <v>0.38</v>
      </c>
      <c r="K17" s="225">
        <f>'Income Statement Forecast'!J8/'Income Statement Forecast'!J6</f>
        <v>0.4</v>
      </c>
      <c r="L17" s="16"/>
      <c r="M17" s="16"/>
      <c r="N17" s="16"/>
      <c r="O17" s="16"/>
      <c r="P17" s="16"/>
      <c r="Q17" s="7"/>
      <c r="R17" s="6"/>
      <c r="S17" s="6"/>
    </row>
    <row r="18" spans="2:19" ht="15.75" customHeight="1" x14ac:dyDescent="0.2">
      <c r="B18" s="84" t="s">
        <v>60</v>
      </c>
      <c r="C18" s="85">
        <f>'Income Statement Forecast'!B16/'Income Statement Forecast'!B6</f>
        <v>4.6441603132694534E-2</v>
      </c>
      <c r="D18" s="85">
        <f>'Income Statement Forecast'!C16/'Income Statement Forecast'!C6</f>
        <v>7.8927008534609905E-2</v>
      </c>
      <c r="E18" s="85">
        <f>'Income Statement Forecast'!D16/'Income Statement Forecast'!D6</f>
        <v>5.6547953834731941E-2</v>
      </c>
      <c r="F18" s="85">
        <f>'Income Statement Forecast'!E16/'Income Statement Forecast'!E6</f>
        <v>9.0344895524348462E-2</v>
      </c>
      <c r="G18" s="225">
        <f>'Income Statement Forecast'!F16/'Income Statement Forecast'!F6</f>
        <v>0.12288996398901063</v>
      </c>
      <c r="H18" s="225">
        <f>'Income Statement Forecast'!G16/'Income Statement Forecast'!G6</f>
        <v>0.14288996398901066</v>
      </c>
      <c r="I18" s="225">
        <f>'Income Statement Forecast'!H16/'Income Statement Forecast'!H6</f>
        <v>0.15538150852114138</v>
      </c>
      <c r="J18" s="225">
        <f>'Income Statement Forecast'!I16/'Income Statement Forecast'!I6</f>
        <v>0.15538150852114141</v>
      </c>
      <c r="K18" s="225">
        <f>'Income Statement Forecast'!J16/'Income Statement Forecast'!J6</f>
        <v>0.17538150852114137</v>
      </c>
      <c r="L18" s="16"/>
      <c r="M18" s="16"/>
      <c r="N18" s="16"/>
      <c r="O18" s="16"/>
      <c r="P18" s="16"/>
      <c r="Q18" s="7"/>
      <c r="R18" s="6"/>
      <c r="S18" s="6"/>
    </row>
    <row r="19" spans="2:19" ht="15.75" customHeight="1" x14ac:dyDescent="0.2">
      <c r="B19" s="84" t="s">
        <v>61</v>
      </c>
      <c r="C19" s="85">
        <f>'Income Statement Forecast'!B23/'Income Statement Forecast'!B6</f>
        <v>3.761606692574683E-2</v>
      </c>
      <c r="D19" s="85">
        <f>'Income Statement Forecast'!C23/'Income Statement Forecast'!C6</f>
        <v>4.2951089190300044E-2</v>
      </c>
      <c r="E19" s="85">
        <f>'Income Statement Forecast'!D23/'Income Statement Forecast'!D6</f>
        <v>3.8133591306891042E-2</v>
      </c>
      <c r="F19" s="85">
        <f>'Income Statement Forecast'!E23/'Income Statement Forecast'!E6</f>
        <v>6.3188888037565269E-2</v>
      </c>
      <c r="G19" s="225">
        <f>'Income Statement Forecast'!F23/'Income Statement Forecast'!F6</f>
        <v>9.1099242312662781E-2</v>
      </c>
      <c r="H19" s="225">
        <f>'Income Statement Forecast'!G23/'Income Statement Forecast'!G6</f>
        <v>0.10637411125673034</v>
      </c>
      <c r="I19" s="225">
        <f>'Income Statement Forecast'!H23/'Income Statement Forecast'!H6</f>
        <v>0.11592147856375909</v>
      </c>
      <c r="J19" s="225">
        <f>'Income Statement Forecast'!I23/'Income Statement Forecast'!I6</f>
        <v>0.11593844282059587</v>
      </c>
      <c r="K19" s="225">
        <f>'Income Statement Forecast'!J23/'Income Statement Forecast'!J6</f>
        <v>0.13120426460236362</v>
      </c>
      <c r="L19" s="16"/>
      <c r="M19" s="16"/>
      <c r="N19" s="16"/>
      <c r="O19" s="16"/>
      <c r="P19" s="16"/>
      <c r="Q19" s="7"/>
      <c r="R19" s="6"/>
      <c r="S19" s="6"/>
    </row>
    <row r="20" spans="2:19" ht="15.75" customHeight="1" x14ac:dyDescent="0.2">
      <c r="B20" s="84" t="s">
        <v>62</v>
      </c>
      <c r="C20" s="85">
        <f>'Income Statement Forecast'!B23/'Balance Sheet Forecast'!B22</f>
        <v>1.2455245102132027E-2</v>
      </c>
      <c r="D20" s="85">
        <f>'Income Statement Forecast'!C23/'Balance Sheet Forecast'!C22</f>
        <v>1.7448227430990369E-2</v>
      </c>
      <c r="E20" s="85">
        <f>'Income Statement Forecast'!D23/'Balance Sheet Forecast'!D22</f>
        <v>1.6490011139270063E-2</v>
      </c>
      <c r="F20" s="85">
        <f>'Income Statement Forecast'!E23/'Balance Sheet Forecast'!E22</f>
        <v>2.9421207936030661E-2</v>
      </c>
      <c r="G20" s="225">
        <f>'Income Statement Forecast'!F23/'Balance Sheet Forecast'!F22</f>
        <v>4.3292475434745042E-2</v>
      </c>
      <c r="H20" s="225">
        <f>'Income Statement Forecast'!G23/'Balance Sheet Forecast'!G22</f>
        <v>5.1926324854290246E-2</v>
      </c>
      <c r="I20" s="225">
        <f>'Income Statement Forecast'!H23/'Balance Sheet Forecast'!H22</f>
        <v>5.8106425717319922E-2</v>
      </c>
      <c r="J20" s="225">
        <f>'Income Statement Forecast'!I23/'Balance Sheet Forecast'!I22</f>
        <v>5.9464930290774022E-2</v>
      </c>
      <c r="K20" s="225">
        <f>'Income Statement Forecast'!J23/'Balance Sheet Forecast'!J22</f>
        <v>6.8402080080515404E-2</v>
      </c>
      <c r="L20" s="16"/>
      <c r="M20" s="16"/>
      <c r="N20" s="16"/>
      <c r="O20" s="16"/>
      <c r="P20" s="16"/>
      <c r="Q20" s="7"/>
      <c r="R20" s="6"/>
      <c r="S20" s="6"/>
    </row>
    <row r="21" spans="2:19" ht="15.75" customHeight="1" x14ac:dyDescent="0.2">
      <c r="B21" s="84" t="s">
        <v>63</v>
      </c>
      <c r="C21" s="85">
        <f>'Income Statement Forecast'!B23/'Balance Sheet Forecast'!B45</f>
        <v>2.863821666120854E-2</v>
      </c>
      <c r="D21" s="85">
        <f>'Income Statement Forecast'!C23/'Balance Sheet Forecast'!C45</f>
        <v>3.7396850791512296E-2</v>
      </c>
      <c r="E21" s="85">
        <f>'Income Statement Forecast'!D23/'Balance Sheet Forecast'!D45</f>
        <v>3.4146881956545826E-2</v>
      </c>
      <c r="F21" s="85">
        <f>'Income Statement Forecast'!E23/'Balance Sheet Forecast'!E45</f>
        <v>5.7330976404226582E-2</v>
      </c>
      <c r="G21" s="225">
        <f>'Income Statement Forecast'!F23/'Balance Sheet Forecast'!F45</f>
        <v>8.5133524799743787E-2</v>
      </c>
      <c r="H21" s="225">
        <f>'Income Statement Forecast'!G23/'Balance Sheet Forecast'!G45</f>
        <v>0.10338442912565744</v>
      </c>
      <c r="I21" s="225">
        <f>'Income Statement Forecast'!H23/'Balance Sheet Forecast'!H45</f>
        <v>0.11717000285928528</v>
      </c>
      <c r="J21" s="225">
        <f>'Income Statement Forecast'!I23/'Balance Sheet Forecast'!I45</f>
        <v>0.12128870007247797</v>
      </c>
      <c r="K21" s="225">
        <f>'Income Statement Forecast'!J23/'Balance Sheet Forecast'!J45</f>
        <v>0.14069047477432678</v>
      </c>
      <c r="L21" s="16"/>
      <c r="M21" s="16"/>
      <c r="N21" s="16"/>
      <c r="O21" s="16"/>
      <c r="P21" s="16"/>
      <c r="Q21" s="7"/>
      <c r="R21" s="6"/>
      <c r="S21" s="6"/>
    </row>
    <row r="22" spans="2:19" ht="15.75" customHeight="1" x14ac:dyDescent="0.2">
      <c r="B22" s="84"/>
      <c r="C22" s="85"/>
      <c r="D22" s="85"/>
      <c r="E22" s="85"/>
      <c r="F22" s="85"/>
      <c r="G22" s="195"/>
      <c r="H22" s="195"/>
      <c r="I22" s="195"/>
      <c r="J22" s="195"/>
      <c r="K22" s="195"/>
      <c r="L22" s="87"/>
      <c r="M22" s="15"/>
      <c r="N22" s="15"/>
      <c r="O22" s="15"/>
      <c r="P22" s="15"/>
      <c r="Q22" s="7"/>
      <c r="R22" s="6"/>
      <c r="S22" s="6"/>
    </row>
    <row r="23" spans="2:19" ht="15.75" customHeight="1" x14ac:dyDescent="0.2">
      <c r="B23" s="89" t="s">
        <v>64</v>
      </c>
      <c r="C23" s="85"/>
      <c r="D23" s="85"/>
      <c r="E23" s="85"/>
      <c r="F23" s="85"/>
      <c r="G23" s="195"/>
      <c r="H23" s="195"/>
      <c r="I23" s="195"/>
      <c r="J23" s="195"/>
      <c r="K23" s="195"/>
      <c r="L23" s="87"/>
      <c r="M23" s="15"/>
      <c r="N23" s="15"/>
      <c r="O23" s="15"/>
      <c r="P23" s="15"/>
      <c r="Q23" s="7"/>
      <c r="R23" s="6"/>
      <c r="S23" s="6"/>
    </row>
    <row r="24" spans="2:19" ht="15.75" customHeight="1" x14ac:dyDescent="0.2">
      <c r="B24" s="84" t="s">
        <v>65</v>
      </c>
      <c r="C24" s="85">
        <f t="shared" ref="C24" si="1">C19</f>
        <v>3.761606692574683E-2</v>
      </c>
      <c r="D24" s="85">
        <f t="shared" ref="D24:K24" si="2">D19</f>
        <v>4.2951089190300044E-2</v>
      </c>
      <c r="E24" s="85">
        <f t="shared" si="2"/>
        <v>3.8133591306891042E-2</v>
      </c>
      <c r="F24" s="85">
        <f t="shared" si="2"/>
        <v>6.3188888037565269E-2</v>
      </c>
      <c r="G24" s="225">
        <f t="shared" si="2"/>
        <v>9.1099242312662781E-2</v>
      </c>
      <c r="H24" s="225">
        <f t="shared" si="2"/>
        <v>0.10637411125673034</v>
      </c>
      <c r="I24" s="225">
        <f t="shared" si="2"/>
        <v>0.11592147856375909</v>
      </c>
      <c r="J24" s="225">
        <f t="shared" si="2"/>
        <v>0.11593844282059587</v>
      </c>
      <c r="K24" s="225">
        <f t="shared" si="2"/>
        <v>0.13120426460236362</v>
      </c>
      <c r="L24" s="16"/>
      <c r="M24" s="16"/>
      <c r="N24" s="16"/>
      <c r="O24" s="16"/>
      <c r="P24" s="16"/>
      <c r="Q24" s="7"/>
      <c r="R24" s="6"/>
      <c r="S24" s="6"/>
    </row>
    <row r="25" spans="2:19" ht="15.75" customHeight="1" x14ac:dyDescent="0.2">
      <c r="B25" s="84" t="s">
        <v>66</v>
      </c>
      <c r="C25" s="85">
        <f>C11</f>
        <v>0.3311150292963474</v>
      </c>
      <c r="D25" s="85">
        <f t="shared" ref="D25:K25" si="3">D11</f>
        <v>0.40623480707750786</v>
      </c>
      <c r="E25" s="85">
        <f t="shared" si="3"/>
        <v>0.4324274366545221</v>
      </c>
      <c r="F25" s="85">
        <f t="shared" si="3"/>
        <v>0.46560730612224094</v>
      </c>
      <c r="G25" s="225">
        <f t="shared" si="3"/>
        <v>0.47522322179322224</v>
      </c>
      <c r="H25" s="225">
        <f t="shared" si="3"/>
        <v>0.48814814282177932</v>
      </c>
      <c r="I25" s="225">
        <f t="shared" si="3"/>
        <v>0.50125676826456489</v>
      </c>
      <c r="J25" s="225">
        <f t="shared" si="3"/>
        <v>0.51290088812724999</v>
      </c>
      <c r="K25" s="225">
        <f t="shared" si="3"/>
        <v>0.52134037173120318</v>
      </c>
      <c r="L25" s="16"/>
      <c r="M25" s="16"/>
      <c r="N25" s="16"/>
      <c r="O25" s="16"/>
      <c r="P25" s="16"/>
      <c r="Q25" s="7"/>
      <c r="R25" s="6"/>
      <c r="S25" s="6"/>
    </row>
    <row r="26" spans="2:19" ht="15.75" customHeight="1" x14ac:dyDescent="0.2">
      <c r="B26" s="84" t="s">
        <v>67</v>
      </c>
      <c r="C26" s="85">
        <f>'Balance Sheet Forecast'!B22/'Balance Sheet Forecast'!B45</f>
        <v>2.2992896909195624</v>
      </c>
      <c r="D26" s="85">
        <f>'Balance Sheet Forecast'!C22/'Balance Sheet Forecast'!C45</f>
        <v>2.1433037217918489</v>
      </c>
      <c r="E26" s="85">
        <f>'Balance Sheet Forecast'!D22/'Balance Sheet Forecast'!D45</f>
        <v>2.0707616064143761</v>
      </c>
      <c r="F26" s="85">
        <f>'Balance Sheet Forecast'!E22/'Balance Sheet Forecast'!E45</f>
        <v>1.9486275522364345</v>
      </c>
      <c r="G26" s="225">
        <f>'Balance Sheet Forecast'!F22/'Balance Sheet Forecast'!F45</f>
        <v>1.9664739413680781</v>
      </c>
      <c r="H26" s="225">
        <f>'Balance Sheet Forecast'!G22/'Balance Sheet Forecast'!G45</f>
        <v>1.9909829824422021</v>
      </c>
      <c r="I26" s="225">
        <f>'Balance Sheet Forecast'!H22/'Balance Sheet Forecast'!H45</f>
        <v>2.0164723851592914</v>
      </c>
      <c r="J26" s="225">
        <f>'Balance Sheet Forecast'!I22/'Balance Sheet Forecast'!I45</f>
        <v>2.0396677416318423</v>
      </c>
      <c r="K26" s="225">
        <f>'Balance Sheet Forecast'!J22/'Balance Sheet Forecast'!J45</f>
        <v>2.0568157373097637</v>
      </c>
      <c r="L26" s="16"/>
      <c r="M26" s="16"/>
      <c r="N26" s="16"/>
      <c r="O26" s="16"/>
      <c r="P26" s="16"/>
      <c r="Q26" s="7"/>
      <c r="R26" s="6"/>
      <c r="S26" s="6"/>
    </row>
    <row r="27" spans="2:19" ht="15.75" customHeight="1" x14ac:dyDescent="0.2">
      <c r="B27" s="84" t="s">
        <v>68</v>
      </c>
      <c r="C27" s="85">
        <f>C24*C25*C26</f>
        <v>2.8638216661208537E-2</v>
      </c>
      <c r="D27" s="85">
        <f t="shared" ref="D27:K27" si="4">D24*D25*D26</f>
        <v>3.7396850791512296E-2</v>
      </c>
      <c r="E27" s="85">
        <f t="shared" si="4"/>
        <v>3.4146881956545826E-2</v>
      </c>
      <c r="F27" s="85">
        <f t="shared" si="4"/>
        <v>5.7330976404226588E-2</v>
      </c>
      <c r="G27" s="225">
        <f t="shared" si="4"/>
        <v>8.5133524799743787E-2</v>
      </c>
      <c r="H27" s="225">
        <f t="shared" si="4"/>
        <v>0.10338442912565744</v>
      </c>
      <c r="I27" s="225">
        <f t="shared" si="4"/>
        <v>0.11717000285928528</v>
      </c>
      <c r="J27" s="225">
        <f t="shared" si="4"/>
        <v>0.12128870007247797</v>
      </c>
      <c r="K27" s="225">
        <f t="shared" si="4"/>
        <v>0.14069047477432678</v>
      </c>
      <c r="L27" s="16"/>
      <c r="M27" s="16"/>
      <c r="N27" s="16"/>
      <c r="O27" s="16"/>
      <c r="P27" s="16"/>
      <c r="Q27" s="7"/>
      <c r="R27" s="6"/>
      <c r="S27" s="6"/>
    </row>
    <row r="28" spans="2:19" ht="15.75" customHeight="1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12"/>
      <c r="M28" s="12"/>
      <c r="N28" s="12"/>
      <c r="O28" s="12"/>
      <c r="P28" s="12"/>
      <c r="Q28" s="6"/>
      <c r="R28" s="6"/>
      <c r="S28" s="6"/>
    </row>
    <row r="29" spans="2:19" ht="15.75" customHeight="1" x14ac:dyDescent="0.2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2:19" ht="15.75" customHeight="1" x14ac:dyDescent="0.2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2:19" ht="15.75" customHeight="1" x14ac:dyDescent="0.2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2:19" ht="15.75" customHeight="1" x14ac:dyDescent="0.2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2:19" ht="15.75" customHeight="1" x14ac:dyDescent="0.2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2:19" ht="15.75" customHeight="1" x14ac:dyDescent="0.2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2:19" ht="15.75" customHeight="1" x14ac:dyDescent="0.2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2:19" ht="15.75" customHeight="1" x14ac:dyDescent="0.2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2:19" ht="15.75" customHeight="1" x14ac:dyDescent="0.2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2:19" ht="15.75" customHeight="1" x14ac:dyDescent="0.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2:19" ht="15.75" customHeight="1" x14ac:dyDescent="0.2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2:19" ht="15.75" customHeight="1" x14ac:dyDescent="0.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2:19" ht="15.75" customHeight="1" x14ac:dyDescent="0.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2:19" ht="15.75" customHeight="1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2:19" ht="15.75" customHeight="1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2:19" ht="15.75" customHeight="1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2:19" ht="15.75" customHeight="1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2:19" ht="15.75" customHeight="1" x14ac:dyDescent="0.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2:19" ht="15.75" customHeight="1" x14ac:dyDescent="0.2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2:19" ht="15.75" customHeight="1" x14ac:dyDescent="0.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2:19" ht="15.75" customHeight="1" x14ac:dyDescent="0.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2:19" ht="15.75" customHeight="1" x14ac:dyDescent="0.2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19" ht="15.75" customHeight="1" x14ac:dyDescent="0.2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2:19" ht="15.75" customHeight="1" x14ac:dyDescent="0.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2:19" ht="15.75" customHeight="1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2:19" ht="15.75" customHeight="1" x14ac:dyDescent="0.2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2:19" ht="15.75" customHeight="1" x14ac:dyDescent="0.2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2:19" ht="15.75" customHeight="1" x14ac:dyDescent="0.2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2:19" ht="15.75" customHeight="1" x14ac:dyDescent="0.2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2:19" ht="15.75" customHeight="1" x14ac:dyDescent="0.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2:19" ht="15.75" customHeight="1" x14ac:dyDescent="0.2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2:19" ht="15.75" customHeight="1" x14ac:dyDescent="0.2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2:19" ht="15.75" customHeight="1" x14ac:dyDescent="0.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2:19" ht="15.75" customHeight="1" x14ac:dyDescent="0.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2:19" ht="15.75" customHeight="1" x14ac:dyDescent="0.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2:19" ht="15.75" customHeight="1" x14ac:dyDescent="0.2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2:19" ht="15.75" customHeight="1" x14ac:dyDescent="0.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2:19" ht="15.75" customHeight="1" x14ac:dyDescent="0.2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2:19" ht="15.75" customHeight="1" x14ac:dyDescent="0.2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2:19" ht="15.75" customHeight="1" x14ac:dyDescent="0.2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2:19" ht="15.75" customHeight="1" x14ac:dyDescent="0.2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2:19" ht="15.75" customHeight="1" x14ac:dyDescent="0.2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2:19" ht="15.75" customHeight="1" x14ac:dyDescent="0.2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2:19" ht="15.75" customHeight="1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2:19" ht="15.75" customHeight="1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2:19" ht="15.75" customHeight="1" x14ac:dyDescent="0.2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2:19" ht="15.75" customHeight="1" x14ac:dyDescent="0.2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2:19" ht="15.75" customHeight="1" x14ac:dyDescent="0.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2:19" ht="15.75" customHeight="1" x14ac:dyDescent="0.2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2:19" ht="15.75" customHeight="1" x14ac:dyDescent="0.2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2:19" ht="15.75" customHeight="1" x14ac:dyDescent="0.2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2:19" ht="15.75" customHeight="1" x14ac:dyDescent="0.2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2:19" ht="15.75" customHeight="1" x14ac:dyDescent="0.2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2:19" ht="15.75" customHeight="1" x14ac:dyDescent="0.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2:19" ht="15.75" customHeight="1" x14ac:dyDescent="0.2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2:19" ht="15.75" customHeight="1" x14ac:dyDescent="0.2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2:19" ht="15.75" customHeight="1" x14ac:dyDescent="0.2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2:19" ht="15.75" customHeight="1" x14ac:dyDescent="0.2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2:19" ht="15.75" customHeight="1" x14ac:dyDescent="0.2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2:19" ht="15.75" customHeight="1" x14ac:dyDescent="0.2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2:19" ht="15.75" customHeight="1" x14ac:dyDescent="0.2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2:19" ht="15.75" customHeight="1" x14ac:dyDescent="0.2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2:19" ht="15.75" customHeight="1" x14ac:dyDescent="0.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2:19" ht="15.75" customHeight="1" x14ac:dyDescent="0.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2:19" ht="15.75" customHeight="1" x14ac:dyDescent="0.2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2:19" ht="15.75" customHeight="1" x14ac:dyDescent="0.2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2:19" ht="15.75" customHeight="1" x14ac:dyDescent="0.2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2:19" ht="15.75" customHeight="1" x14ac:dyDescent="0.2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 ht="15.75" customHeight="1" x14ac:dyDescent="0.2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 ht="15.75" customHeight="1" x14ac:dyDescent="0.2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 ht="15.75" customHeight="1" x14ac:dyDescent="0.2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 ht="15.75" customHeight="1" x14ac:dyDescent="0.2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 ht="15.75" customHeight="1" x14ac:dyDescent="0.2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2:19" ht="15.75" customHeight="1" x14ac:dyDescent="0.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2:19" ht="15.75" customHeight="1" x14ac:dyDescent="0.2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2:19" ht="15.75" customHeight="1" x14ac:dyDescent="0.2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2:19" ht="15.75" customHeight="1" x14ac:dyDescent="0.2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2:19" ht="15.75" customHeight="1" x14ac:dyDescent="0.2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2:19" ht="15.75" customHeight="1" x14ac:dyDescent="0.2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2:19" ht="15.75" customHeight="1" x14ac:dyDescent="0.2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2:19" ht="15.75" customHeight="1" x14ac:dyDescent="0.2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2:19" ht="15.75" customHeight="1" x14ac:dyDescent="0.2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2:19" ht="15.75" customHeight="1" x14ac:dyDescent="0.2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2:19" ht="15.75" customHeight="1" x14ac:dyDescent="0.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2:19" ht="15.75" customHeight="1" x14ac:dyDescent="0.2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2:19" ht="15.75" customHeight="1" x14ac:dyDescent="0.2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2:19" ht="15.75" customHeight="1" x14ac:dyDescent="0.2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2:19" ht="15.75" customHeight="1" x14ac:dyDescent="0.2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2:19" ht="15.75" customHeight="1" x14ac:dyDescent="0.2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2:19" ht="15.75" customHeight="1" x14ac:dyDescent="0.2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2:19" ht="15.75" customHeight="1" x14ac:dyDescent="0.2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2:19" ht="15.75" customHeight="1" x14ac:dyDescent="0.2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2:19" ht="15.75" customHeight="1" x14ac:dyDescent="0.2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2:19" ht="15.75" customHeight="1" x14ac:dyDescent="0.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2:19" ht="15.75" customHeight="1" x14ac:dyDescent="0.2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2:19" ht="15.75" customHeight="1" x14ac:dyDescent="0.2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2:19" ht="15.75" customHeight="1" x14ac:dyDescent="0.2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2:19" ht="15.75" customHeight="1" x14ac:dyDescent="0.2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2:19" ht="15.75" customHeight="1" x14ac:dyDescent="0.2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2:19" ht="15.75" customHeight="1" x14ac:dyDescent="0.2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 ht="15.75" customHeight="1" x14ac:dyDescent="0.2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 ht="15.75" customHeight="1" x14ac:dyDescent="0.2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 ht="15.75" customHeight="1" x14ac:dyDescent="0.2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 ht="15.75" customHeight="1" x14ac:dyDescent="0.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 ht="15.75" customHeight="1" x14ac:dyDescent="0.2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 ht="15.75" customHeight="1" x14ac:dyDescent="0.2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 ht="15.75" customHeight="1" x14ac:dyDescent="0.2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 ht="15.75" customHeight="1" x14ac:dyDescent="0.2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 ht="15.75" customHeight="1" x14ac:dyDescent="0.2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 ht="15.75" customHeight="1" x14ac:dyDescent="0.2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 ht="15.75" customHeight="1" x14ac:dyDescent="0.2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 ht="15.75" customHeight="1" x14ac:dyDescent="0.2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 ht="15.75" customHeight="1" x14ac:dyDescent="0.2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 ht="15.75" customHeight="1" x14ac:dyDescent="0.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 ht="15.75" customHeight="1" x14ac:dyDescent="0.2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 ht="15.75" customHeight="1" x14ac:dyDescent="0.2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 ht="15.75" customHeight="1" x14ac:dyDescent="0.2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 ht="15.75" customHeight="1" x14ac:dyDescent="0.2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 ht="15.75" customHeight="1" x14ac:dyDescent="0.2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 ht="15.75" customHeight="1" x14ac:dyDescent="0.2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 ht="15.75" customHeight="1" x14ac:dyDescent="0.2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 ht="15.75" customHeight="1" x14ac:dyDescent="0.2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 ht="15.75" customHeight="1" x14ac:dyDescent="0.2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 ht="15.75" customHeight="1" x14ac:dyDescent="0.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 ht="15.75" customHeight="1" x14ac:dyDescent="0.2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 ht="15.75" customHeight="1" x14ac:dyDescent="0.2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 ht="15.75" customHeight="1" x14ac:dyDescent="0.2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 ht="15.75" customHeight="1" x14ac:dyDescent="0.2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 ht="15.75" customHeight="1" x14ac:dyDescent="0.2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 ht="15.75" customHeight="1" x14ac:dyDescent="0.2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 ht="15.75" customHeight="1" x14ac:dyDescent="0.2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 ht="15.75" customHeight="1" x14ac:dyDescent="0.2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 ht="15.75" customHeight="1" x14ac:dyDescent="0.2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 ht="15.75" customHeight="1" x14ac:dyDescent="0.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 ht="15.75" customHeight="1" x14ac:dyDescent="0.2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 ht="15.75" customHeight="1" x14ac:dyDescent="0.2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 ht="15.75" customHeight="1" x14ac:dyDescent="0.2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 ht="15.75" customHeight="1" x14ac:dyDescent="0.2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 ht="15.75" customHeight="1" x14ac:dyDescent="0.2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 ht="15.75" customHeight="1" x14ac:dyDescent="0.2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 ht="15.75" customHeight="1" x14ac:dyDescent="0.2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2:19" ht="15.75" customHeight="1" x14ac:dyDescent="0.2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 ht="15.75" customHeight="1" x14ac:dyDescent="0.2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 ht="15.75" customHeight="1" x14ac:dyDescent="0.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2:19" ht="15.75" customHeight="1" x14ac:dyDescent="0.2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2:19" ht="15.75" customHeight="1" x14ac:dyDescent="0.2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2:19" ht="15.75" customHeight="1" x14ac:dyDescent="0.2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2:19" ht="15.75" customHeight="1" x14ac:dyDescent="0.2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2:19" ht="15.75" customHeight="1" x14ac:dyDescent="0.2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2:19" ht="15.75" customHeight="1" x14ac:dyDescent="0.2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2:19" ht="15.75" customHeight="1" x14ac:dyDescent="0.2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2:19" ht="15.75" customHeight="1" x14ac:dyDescent="0.2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2:19" ht="15.75" customHeight="1" x14ac:dyDescent="0.2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2:19" ht="15.75" customHeight="1" x14ac:dyDescent="0.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2:19" ht="15.75" customHeight="1" x14ac:dyDescent="0.2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2:19" ht="15.75" customHeight="1" x14ac:dyDescent="0.2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2:19" ht="15.75" customHeight="1" x14ac:dyDescent="0.2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2:19" ht="15.75" customHeight="1" x14ac:dyDescent="0.2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2:19" ht="15.75" customHeight="1" x14ac:dyDescent="0.2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2:19" ht="15.75" customHeight="1" x14ac:dyDescent="0.2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2:19" ht="15.75" customHeight="1" x14ac:dyDescent="0.2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2:19" ht="15.75" customHeight="1" x14ac:dyDescent="0.2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2:19" ht="15.75" customHeight="1" x14ac:dyDescent="0.2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2:19" ht="15.75" customHeight="1" x14ac:dyDescent="0.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2:19" ht="15.75" customHeight="1" x14ac:dyDescent="0.2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2:19" ht="15.75" customHeight="1" x14ac:dyDescent="0.2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2:19" ht="15.75" customHeight="1" x14ac:dyDescent="0.2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2:19" ht="15.75" customHeight="1" x14ac:dyDescent="0.2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2:19" ht="15.75" customHeight="1" x14ac:dyDescent="0.2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2:19" ht="15.75" customHeight="1" x14ac:dyDescent="0.2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2:19" ht="15.75" customHeight="1" x14ac:dyDescent="0.2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2:19" ht="15.75" customHeight="1" x14ac:dyDescent="0.2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spans="2:19" ht="15.75" customHeight="1" x14ac:dyDescent="0.2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2:19" ht="15.75" customHeight="1" x14ac:dyDescent="0.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2:19" ht="15.75" customHeight="1" x14ac:dyDescent="0.2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2:19" ht="15.75" customHeight="1" x14ac:dyDescent="0.2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spans="2:19" ht="15.75" customHeight="1" x14ac:dyDescent="0.2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spans="2:19" ht="15.75" customHeight="1" x14ac:dyDescent="0.2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spans="2:19" ht="15.75" customHeight="1" x14ac:dyDescent="0.2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2:19" ht="15.75" customHeight="1" x14ac:dyDescent="0.2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2:19" ht="15.75" customHeight="1" x14ac:dyDescent="0.2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2:19" ht="15.75" customHeight="1" x14ac:dyDescent="0.2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2:19" ht="15.75" customHeight="1" x14ac:dyDescent="0.2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spans="2:19" ht="15.75" customHeight="1" x14ac:dyDescent="0.2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spans="2:19" ht="15.75" customHeight="1" x14ac:dyDescent="0.2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spans="2:19" ht="15.75" customHeight="1" x14ac:dyDescent="0.2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spans="2:19" ht="15.75" customHeight="1" x14ac:dyDescent="0.2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spans="2:19" ht="15.75" customHeight="1" x14ac:dyDescent="0.2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spans="2:19" ht="15.75" customHeight="1" x14ac:dyDescent="0.2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spans="2:19" ht="15.75" customHeight="1" x14ac:dyDescent="0.2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spans="2:19" ht="15.75" customHeight="1" x14ac:dyDescent="0.2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spans="2:19" ht="15.75" customHeight="1" x14ac:dyDescent="0.2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2:19" ht="15.75" customHeight="1" x14ac:dyDescent="0.2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spans="2:19" ht="15.75" customHeight="1" x14ac:dyDescent="0.2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2:19" ht="15.75" customHeight="1" x14ac:dyDescent="0.2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spans="2:19" ht="15.75" customHeight="1" x14ac:dyDescent="0.2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spans="2:19" ht="15.75" customHeight="1" x14ac:dyDescent="0.2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spans="2:19" ht="15.75" customHeight="1" x14ac:dyDescent="0.2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spans="2:19" ht="15.75" customHeight="1" x14ac:dyDescent="0.2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spans="2:19" ht="15.75" customHeight="1" x14ac:dyDescent="0.2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spans="2:19" ht="15.75" customHeight="1" x14ac:dyDescent="0.2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spans="2:19" ht="15.75" customHeight="1" x14ac:dyDescent="0.2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spans="2:19" ht="15.75" customHeight="1" x14ac:dyDescent="0.2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spans="2:19" ht="15.75" customHeight="1" x14ac:dyDescent="0.2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spans="2:19" ht="15.75" customHeight="1" x14ac:dyDescent="0.2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spans="2:19" ht="15.75" customHeight="1" x14ac:dyDescent="0.2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spans="2:19" ht="15.75" customHeight="1" x14ac:dyDescent="0.2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spans="2:19" ht="15.75" customHeight="1" x14ac:dyDescent="0.2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spans="2:19" ht="15.75" customHeight="1" x14ac:dyDescent="0.2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spans="2:19" ht="15.75" customHeight="1" x14ac:dyDescent="0.2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spans="2:19" ht="15.75" customHeight="1" x14ac:dyDescent="0.2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spans="2:19" ht="15.75" customHeight="1" x14ac:dyDescent="0.2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spans="2:19" ht="15.75" customHeight="1" x14ac:dyDescent="0.2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spans="2:19" ht="15.75" customHeight="1" x14ac:dyDescent="0.2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spans="2:19" ht="15.75" customHeight="1" x14ac:dyDescent="0.2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spans="2:19" ht="15.75" customHeight="1" x14ac:dyDescent="0.2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spans="2:19" ht="15.75" customHeight="1" x14ac:dyDescent="0.2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spans="2:19" ht="15.75" customHeight="1" x14ac:dyDescent="0.2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spans="2:19" ht="15.75" customHeight="1" x14ac:dyDescent="0.2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spans="2:19" ht="15.75" customHeight="1" x14ac:dyDescent="0.2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spans="2:19" ht="15.75" customHeight="1" x14ac:dyDescent="0.2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spans="2:19" ht="15.75" customHeight="1" x14ac:dyDescent="0.2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spans="2:19" ht="15.75" customHeight="1" x14ac:dyDescent="0.2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spans="2:19" ht="15.75" customHeight="1" x14ac:dyDescent="0.2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spans="2:19" ht="15.75" customHeight="1" x14ac:dyDescent="0.2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spans="2:19" ht="15.75" customHeight="1" x14ac:dyDescent="0.2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spans="2:19" ht="15.75" customHeight="1" x14ac:dyDescent="0.2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spans="2:19" ht="15.75" customHeight="1" x14ac:dyDescent="0.2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spans="2:19" ht="15.75" customHeight="1" x14ac:dyDescent="0.2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spans="2:19" ht="15.75" customHeight="1" x14ac:dyDescent="0.2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spans="2:19" ht="15.75" customHeight="1" x14ac:dyDescent="0.2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spans="2:19" ht="15.75" customHeight="1" x14ac:dyDescent="0.2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spans="2:19" ht="15.75" customHeight="1" x14ac:dyDescent="0.2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spans="2:19" ht="15.75" customHeight="1" x14ac:dyDescent="0.2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spans="2:19" ht="15.75" customHeight="1" x14ac:dyDescent="0.2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spans="2:19" ht="15.75" customHeight="1" x14ac:dyDescent="0.2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spans="2:19" ht="15.75" customHeight="1" x14ac:dyDescent="0.2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spans="2:19" ht="15.75" customHeight="1" x14ac:dyDescent="0.2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spans="2:19" ht="15.75" customHeight="1" x14ac:dyDescent="0.2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spans="2:19" ht="15.75" customHeight="1" x14ac:dyDescent="0.2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spans="2:19" ht="15.75" customHeight="1" x14ac:dyDescent="0.2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spans="2:19" ht="15.75" customHeight="1" x14ac:dyDescent="0.2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2:19" ht="15.75" customHeight="1" x14ac:dyDescent="0.2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2:19" ht="15.75" customHeight="1" x14ac:dyDescent="0.2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spans="2:19" ht="15.75" customHeight="1" x14ac:dyDescent="0.2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spans="2:19" ht="15.75" customHeight="1" x14ac:dyDescent="0.2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spans="2:19" ht="15.75" customHeight="1" x14ac:dyDescent="0.2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spans="2:19" ht="15.75" customHeight="1" x14ac:dyDescent="0.2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spans="2:19" ht="15.75" customHeight="1" x14ac:dyDescent="0.2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spans="2:19" ht="15.75" customHeight="1" x14ac:dyDescent="0.2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spans="2:19" ht="15.75" customHeight="1" x14ac:dyDescent="0.2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spans="2:19" ht="15.75" customHeight="1" x14ac:dyDescent="0.2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spans="2:19" ht="15.75" customHeight="1" x14ac:dyDescent="0.2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spans="2:19" ht="15.75" customHeight="1" x14ac:dyDescent="0.2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spans="2:19" ht="15.75" customHeight="1" x14ac:dyDescent="0.2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spans="2:19" ht="15.75" customHeight="1" x14ac:dyDescent="0.2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spans="2:19" ht="15.75" customHeight="1" x14ac:dyDescent="0.2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spans="2:19" ht="15.75" customHeight="1" x14ac:dyDescent="0.2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spans="2:19" ht="15.75" customHeight="1" x14ac:dyDescent="0.2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spans="2:19" ht="15.75" customHeight="1" x14ac:dyDescent="0.2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spans="2:19" ht="15.75" customHeight="1" x14ac:dyDescent="0.2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spans="2:19" ht="15.75" customHeight="1" x14ac:dyDescent="0.2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spans="2:19" ht="15.75" customHeight="1" x14ac:dyDescent="0.2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spans="2:19" ht="15.75" customHeight="1" x14ac:dyDescent="0.2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spans="2:19" ht="15.75" customHeight="1" x14ac:dyDescent="0.2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spans="2:19" ht="15.75" customHeight="1" x14ac:dyDescent="0.2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spans="2:19" ht="15.75" customHeight="1" x14ac:dyDescent="0.2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spans="2:19" ht="15.75" customHeight="1" x14ac:dyDescent="0.2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spans="2:19" ht="15.75" customHeight="1" x14ac:dyDescent="0.2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spans="2:19" ht="15.75" customHeight="1" x14ac:dyDescent="0.2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spans="2:19" ht="15.75" customHeight="1" x14ac:dyDescent="0.2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spans="2:19" ht="15.75" customHeight="1" x14ac:dyDescent="0.2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spans="2:19" ht="15.75" customHeight="1" x14ac:dyDescent="0.2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spans="2:19" ht="15.75" customHeight="1" x14ac:dyDescent="0.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spans="2:19" ht="15.75" customHeight="1" x14ac:dyDescent="0.2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spans="2:19" ht="15.75" customHeight="1" x14ac:dyDescent="0.2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spans="2:19" ht="15.75" customHeight="1" x14ac:dyDescent="0.2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spans="2:19" ht="15.75" customHeight="1" x14ac:dyDescent="0.2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spans="2:19" ht="15.75" customHeight="1" x14ac:dyDescent="0.2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spans="2:19" ht="15.75" customHeight="1" x14ac:dyDescent="0.2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spans="2:19" ht="15.75" customHeight="1" x14ac:dyDescent="0.2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spans="2:19" ht="15.75" customHeight="1" x14ac:dyDescent="0.2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spans="2:19" ht="15.75" customHeight="1" x14ac:dyDescent="0.2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spans="2:19" ht="15.75" customHeight="1" x14ac:dyDescent="0.2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spans="2:19" ht="15.75" customHeight="1" x14ac:dyDescent="0.2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spans="2:19" ht="15.75" customHeight="1" x14ac:dyDescent="0.2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spans="2:19" ht="15.75" customHeight="1" x14ac:dyDescent="0.2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spans="2:19" ht="15.75" customHeight="1" x14ac:dyDescent="0.2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spans="2:19" ht="15.75" customHeight="1" x14ac:dyDescent="0.2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spans="2:19" ht="15.75" customHeight="1" x14ac:dyDescent="0.2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spans="2:19" ht="15.75" customHeight="1" x14ac:dyDescent="0.2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spans="2:19" ht="15.75" customHeight="1" x14ac:dyDescent="0.2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spans="2:19" ht="15.75" customHeight="1" x14ac:dyDescent="0.2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spans="2:19" ht="15.75" customHeight="1" x14ac:dyDescent="0.2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spans="2:19" ht="15.75" customHeight="1" x14ac:dyDescent="0.2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spans="2:19" ht="15.75" customHeight="1" x14ac:dyDescent="0.2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spans="2:19" ht="15.75" customHeight="1" x14ac:dyDescent="0.2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spans="2:19" ht="15.75" customHeight="1" x14ac:dyDescent="0.2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spans="2:19" ht="15.75" customHeight="1" x14ac:dyDescent="0.2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spans="2:19" ht="15.75" customHeight="1" x14ac:dyDescent="0.2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spans="2:19" ht="15.75" customHeight="1" x14ac:dyDescent="0.2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spans="2:19" ht="15.75" customHeight="1" x14ac:dyDescent="0.2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spans="2:19" ht="15.75" customHeight="1" x14ac:dyDescent="0.2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spans="2:19" ht="15.75" customHeight="1" x14ac:dyDescent="0.2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spans="2:19" ht="15.75" customHeight="1" x14ac:dyDescent="0.2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spans="2:19" ht="15.75" customHeight="1" x14ac:dyDescent="0.2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spans="2:19" ht="15.75" customHeight="1" x14ac:dyDescent="0.2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spans="2:19" ht="15.75" customHeight="1" x14ac:dyDescent="0.2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spans="2:19" ht="15.75" customHeight="1" x14ac:dyDescent="0.2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2:19" ht="15.75" customHeight="1" x14ac:dyDescent="0.2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spans="2:19" ht="15.75" customHeight="1" x14ac:dyDescent="0.2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spans="2:19" ht="15.75" customHeight="1" x14ac:dyDescent="0.2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spans="2:19" ht="15.75" customHeight="1" x14ac:dyDescent="0.2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spans="2:19" ht="15.75" customHeight="1" x14ac:dyDescent="0.2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spans="2:19" ht="15.75" customHeight="1" x14ac:dyDescent="0.2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spans="2:19" ht="15.75" customHeight="1" x14ac:dyDescent="0.2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spans="2:19" ht="15.75" customHeight="1" x14ac:dyDescent="0.2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spans="2:19" ht="15.75" customHeight="1" x14ac:dyDescent="0.2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2:19" ht="15.75" customHeight="1" x14ac:dyDescent="0.2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2:19" ht="15.75" customHeight="1" x14ac:dyDescent="0.2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2:19" ht="15.75" customHeight="1" x14ac:dyDescent="0.2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spans="2:19" ht="15.75" customHeight="1" x14ac:dyDescent="0.2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spans="2:19" ht="15.75" customHeight="1" x14ac:dyDescent="0.2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spans="2:19" ht="15.75" customHeight="1" x14ac:dyDescent="0.2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spans="2:19" ht="15.75" customHeight="1" x14ac:dyDescent="0.2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spans="2:19" ht="15.75" customHeight="1" x14ac:dyDescent="0.2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spans="2:19" ht="15.75" customHeight="1" x14ac:dyDescent="0.2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spans="2:19" ht="15.75" customHeight="1" x14ac:dyDescent="0.2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spans="2:19" ht="15.75" customHeight="1" x14ac:dyDescent="0.2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spans="2:19" ht="15.75" customHeight="1" x14ac:dyDescent="0.2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spans="2:19" ht="15.75" customHeight="1" x14ac:dyDescent="0.2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spans="2:19" ht="15.75" customHeight="1" x14ac:dyDescent="0.2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spans="2:19" ht="15.75" customHeight="1" x14ac:dyDescent="0.2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spans="2:19" ht="15.75" customHeight="1" x14ac:dyDescent="0.2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spans="2:19" ht="15.75" customHeight="1" x14ac:dyDescent="0.2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spans="2:19" ht="15.75" customHeight="1" x14ac:dyDescent="0.2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spans="2:19" ht="15.75" customHeight="1" x14ac:dyDescent="0.2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spans="2:19" ht="15.75" customHeight="1" x14ac:dyDescent="0.2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spans="2:19" ht="15.75" customHeight="1" x14ac:dyDescent="0.2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spans="2:19" ht="15.75" customHeight="1" x14ac:dyDescent="0.2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spans="2:19" ht="15.75" customHeight="1" x14ac:dyDescent="0.2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spans="2:19" ht="15.75" customHeight="1" x14ac:dyDescent="0.2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spans="2:19" ht="15.75" customHeight="1" x14ac:dyDescent="0.2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spans="2:19" ht="15.75" customHeight="1" x14ac:dyDescent="0.2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spans="2:19" ht="15.75" customHeight="1" x14ac:dyDescent="0.2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spans="2:19" ht="15.75" customHeight="1" x14ac:dyDescent="0.2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spans="2:19" ht="15.75" customHeight="1" x14ac:dyDescent="0.2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spans="2:19" ht="15.75" customHeight="1" x14ac:dyDescent="0.2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spans="2:19" ht="15.75" customHeight="1" x14ac:dyDescent="0.2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spans="2:19" ht="15.75" customHeight="1" x14ac:dyDescent="0.2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spans="2:19" ht="15.75" customHeight="1" x14ac:dyDescent="0.2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spans="2:19" ht="15.75" customHeight="1" x14ac:dyDescent="0.2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spans="2:19" ht="15.75" customHeight="1" x14ac:dyDescent="0.2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spans="2:19" ht="15.75" customHeight="1" x14ac:dyDescent="0.2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spans="2:19" ht="15.75" customHeight="1" x14ac:dyDescent="0.2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spans="2:19" ht="15.75" customHeight="1" x14ac:dyDescent="0.2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spans="2:19" ht="15.75" customHeight="1" x14ac:dyDescent="0.2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spans="2:19" ht="15.75" customHeight="1" x14ac:dyDescent="0.2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spans="2:19" ht="15.75" customHeight="1" x14ac:dyDescent="0.2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spans="2:19" ht="15.75" customHeight="1" x14ac:dyDescent="0.2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spans="2:19" ht="15.75" customHeight="1" x14ac:dyDescent="0.2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spans="2:19" ht="15.75" customHeight="1" x14ac:dyDescent="0.2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spans="2:19" ht="15.75" customHeight="1" x14ac:dyDescent="0.2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spans="2:19" ht="15.75" customHeight="1" x14ac:dyDescent="0.2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spans="2:19" ht="15.75" customHeight="1" x14ac:dyDescent="0.2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spans="2:19" ht="15.75" customHeight="1" x14ac:dyDescent="0.2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spans="2:19" ht="15.75" customHeight="1" x14ac:dyDescent="0.2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spans="2:19" ht="15.75" customHeight="1" x14ac:dyDescent="0.2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spans="2:19" ht="15.75" customHeight="1" x14ac:dyDescent="0.2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spans="2:19" ht="15.75" customHeight="1" x14ac:dyDescent="0.2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spans="2:19" ht="15.75" customHeight="1" x14ac:dyDescent="0.2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spans="2:19" ht="15.75" customHeight="1" x14ac:dyDescent="0.2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spans="2:19" ht="15.75" customHeight="1" x14ac:dyDescent="0.2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spans="2:19" ht="15.75" customHeight="1" x14ac:dyDescent="0.2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spans="2:19" ht="15.75" customHeight="1" x14ac:dyDescent="0.2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spans="2:19" ht="15.75" customHeight="1" x14ac:dyDescent="0.2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spans="2:19" ht="15.75" customHeight="1" x14ac:dyDescent="0.2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spans="2:19" ht="15.75" customHeight="1" x14ac:dyDescent="0.2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spans="2:19" ht="15.75" customHeight="1" x14ac:dyDescent="0.2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spans="2:19" ht="15.75" customHeight="1" x14ac:dyDescent="0.2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spans="2:19" ht="15.75" customHeight="1" x14ac:dyDescent="0.2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spans="2:19" ht="15.75" customHeight="1" x14ac:dyDescent="0.2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spans="2:19" ht="15.75" customHeight="1" x14ac:dyDescent="0.2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spans="2:19" ht="15.75" customHeight="1" x14ac:dyDescent="0.2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spans="2:19" ht="15.75" customHeight="1" x14ac:dyDescent="0.2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spans="2:19" ht="15.75" customHeight="1" x14ac:dyDescent="0.2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spans="2:19" ht="15.75" customHeight="1" x14ac:dyDescent="0.2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spans="2:19" ht="15.75" customHeight="1" x14ac:dyDescent="0.2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spans="2:19" ht="15.75" customHeight="1" x14ac:dyDescent="0.2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spans="2:19" ht="15.75" customHeight="1" x14ac:dyDescent="0.2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spans="2:19" ht="15.75" customHeight="1" x14ac:dyDescent="0.2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spans="2:19" ht="15.75" customHeight="1" x14ac:dyDescent="0.2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spans="2:19" ht="15.75" customHeight="1" x14ac:dyDescent="0.2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spans="2:19" ht="15.75" customHeight="1" x14ac:dyDescent="0.2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spans="2:19" ht="15.75" customHeight="1" x14ac:dyDescent="0.2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spans="2:19" ht="15.75" customHeight="1" x14ac:dyDescent="0.2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spans="2:19" ht="15.75" customHeight="1" x14ac:dyDescent="0.2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spans="2:19" ht="15.75" customHeight="1" x14ac:dyDescent="0.2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spans="2:19" ht="15.75" customHeight="1" x14ac:dyDescent="0.2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spans="2:19" ht="15.75" customHeight="1" x14ac:dyDescent="0.2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spans="2:19" ht="15.75" customHeight="1" x14ac:dyDescent="0.2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spans="2:19" ht="15.75" customHeight="1" x14ac:dyDescent="0.2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spans="2:19" ht="15.75" customHeight="1" x14ac:dyDescent="0.2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spans="2:19" ht="15.75" customHeight="1" x14ac:dyDescent="0.2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spans="2:19" ht="15.75" customHeight="1" x14ac:dyDescent="0.2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spans="2:19" ht="15.75" customHeight="1" x14ac:dyDescent="0.2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spans="2:19" ht="15.75" customHeight="1" x14ac:dyDescent="0.2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spans="2:19" ht="15.75" customHeight="1" x14ac:dyDescent="0.2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spans="2:19" ht="15.75" customHeight="1" x14ac:dyDescent="0.2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spans="2:19" ht="15.75" customHeight="1" x14ac:dyDescent="0.2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spans="2:19" ht="15.75" customHeight="1" x14ac:dyDescent="0.2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spans="2:19" ht="15.75" customHeight="1" x14ac:dyDescent="0.2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spans="2:19" ht="15.75" customHeight="1" x14ac:dyDescent="0.2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spans="2:19" ht="15.75" customHeight="1" x14ac:dyDescent="0.2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spans="2:19" ht="15.75" customHeight="1" x14ac:dyDescent="0.2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spans="2:19" ht="15.75" customHeight="1" x14ac:dyDescent="0.2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spans="2:19" ht="15.75" customHeight="1" x14ac:dyDescent="0.2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spans="2:19" ht="15.75" customHeight="1" x14ac:dyDescent="0.2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spans="2:19" ht="15.75" customHeight="1" x14ac:dyDescent="0.2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spans="2:19" ht="15.75" customHeight="1" x14ac:dyDescent="0.2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spans="2:19" ht="15.75" customHeight="1" x14ac:dyDescent="0.2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spans="2:19" ht="15.75" customHeight="1" x14ac:dyDescent="0.2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spans="2:19" ht="15.75" customHeight="1" x14ac:dyDescent="0.2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spans="2:19" ht="15.75" customHeight="1" x14ac:dyDescent="0.2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spans="2:19" ht="15.75" customHeight="1" x14ac:dyDescent="0.2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spans="2:19" ht="15.75" customHeight="1" x14ac:dyDescent="0.2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spans="2:19" ht="15.75" customHeight="1" x14ac:dyDescent="0.2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spans="2:19" ht="15.75" customHeight="1" x14ac:dyDescent="0.2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spans="2:19" ht="15.75" customHeight="1" x14ac:dyDescent="0.2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spans="2:19" ht="15.75" customHeight="1" x14ac:dyDescent="0.2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spans="2:19" ht="15.75" customHeight="1" x14ac:dyDescent="0.2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spans="2:19" ht="15.75" customHeight="1" x14ac:dyDescent="0.2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spans="2:19" ht="15.75" customHeight="1" x14ac:dyDescent="0.2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spans="2:19" ht="15.75" customHeight="1" x14ac:dyDescent="0.2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spans="2:19" ht="15.75" customHeight="1" x14ac:dyDescent="0.2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spans="2:19" ht="15.75" customHeight="1" x14ac:dyDescent="0.2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spans="2:19" ht="15.75" customHeight="1" x14ac:dyDescent="0.2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spans="2:19" ht="15.75" customHeight="1" x14ac:dyDescent="0.2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spans="2:19" ht="15.75" customHeight="1" x14ac:dyDescent="0.2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spans="2:19" ht="15.75" customHeight="1" x14ac:dyDescent="0.2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spans="2:19" ht="15.75" customHeight="1" x14ac:dyDescent="0.2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spans="2:19" ht="15.75" customHeight="1" x14ac:dyDescent="0.2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spans="2:19" ht="15.75" customHeight="1" x14ac:dyDescent="0.2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spans="2:19" ht="15.75" customHeight="1" x14ac:dyDescent="0.2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spans="2:19" ht="15.75" customHeight="1" x14ac:dyDescent="0.2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spans="2:19" ht="15.75" customHeight="1" x14ac:dyDescent="0.2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spans="2:19" ht="15.75" customHeight="1" x14ac:dyDescent="0.2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spans="2:19" ht="15.75" customHeight="1" x14ac:dyDescent="0.2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spans="2:19" ht="15.75" customHeight="1" x14ac:dyDescent="0.2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spans="2:19" ht="15.75" customHeight="1" x14ac:dyDescent="0.2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spans="2:19" ht="15.75" customHeight="1" x14ac:dyDescent="0.2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spans="2:19" ht="15.75" customHeight="1" x14ac:dyDescent="0.2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spans="2:19" ht="15.75" customHeight="1" x14ac:dyDescent="0.2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spans="2:19" ht="15.75" customHeight="1" x14ac:dyDescent="0.2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spans="2:19" ht="15.75" customHeight="1" x14ac:dyDescent="0.2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spans="2:19" ht="15.75" customHeight="1" x14ac:dyDescent="0.2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spans="2:19" ht="15.75" customHeight="1" x14ac:dyDescent="0.2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spans="2:19" ht="15.75" customHeight="1" x14ac:dyDescent="0.2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spans="2:19" ht="15.75" customHeight="1" x14ac:dyDescent="0.2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spans="2:19" ht="15.75" customHeight="1" x14ac:dyDescent="0.2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spans="2:19" ht="15.75" customHeight="1" x14ac:dyDescent="0.2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spans="2:19" ht="15.75" customHeight="1" x14ac:dyDescent="0.2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spans="2:19" ht="15.75" customHeight="1" x14ac:dyDescent="0.2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spans="2:19" ht="15.75" customHeight="1" x14ac:dyDescent="0.2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spans="2:19" ht="15.75" customHeight="1" x14ac:dyDescent="0.2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spans="2:19" ht="15.75" customHeight="1" x14ac:dyDescent="0.2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spans="2:19" ht="15.75" customHeight="1" x14ac:dyDescent="0.2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spans="2:19" ht="15.75" customHeight="1" x14ac:dyDescent="0.2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spans="2:19" ht="15.75" customHeight="1" x14ac:dyDescent="0.2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spans="2:19" ht="15.75" customHeight="1" x14ac:dyDescent="0.2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spans="2:19" ht="15.75" customHeight="1" x14ac:dyDescent="0.2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spans="2:19" ht="15.75" customHeight="1" x14ac:dyDescent="0.2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spans="2:19" ht="15.75" customHeight="1" x14ac:dyDescent="0.2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spans="2:19" ht="15.75" customHeight="1" x14ac:dyDescent="0.2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spans="2:19" ht="15.75" customHeight="1" x14ac:dyDescent="0.2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spans="2:19" ht="15.75" customHeight="1" x14ac:dyDescent="0.2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spans="2:19" ht="15.75" customHeight="1" x14ac:dyDescent="0.2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spans="2:19" ht="15.75" customHeight="1" x14ac:dyDescent="0.2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spans="2:19" ht="15.75" customHeight="1" x14ac:dyDescent="0.2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spans="2:19" ht="15.75" customHeight="1" x14ac:dyDescent="0.2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spans="2:19" ht="15.75" customHeight="1" x14ac:dyDescent="0.2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spans="2:19" ht="15.75" customHeight="1" x14ac:dyDescent="0.2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spans="2:19" ht="15.75" customHeight="1" x14ac:dyDescent="0.2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spans="2:19" ht="15.75" customHeight="1" x14ac:dyDescent="0.2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spans="2:19" ht="15.75" customHeight="1" x14ac:dyDescent="0.2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spans="2:19" ht="15.75" customHeight="1" x14ac:dyDescent="0.2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spans="2:19" ht="15.75" customHeight="1" x14ac:dyDescent="0.2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spans="2:19" ht="15.75" customHeight="1" x14ac:dyDescent="0.2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spans="2:19" ht="15.75" customHeight="1" x14ac:dyDescent="0.2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spans="2:19" ht="15.75" customHeight="1" x14ac:dyDescent="0.2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spans="2:19" ht="15.75" customHeight="1" x14ac:dyDescent="0.2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spans="2:19" ht="15.75" customHeight="1" x14ac:dyDescent="0.2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spans="2:19" ht="15.75" customHeight="1" x14ac:dyDescent="0.2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spans="2:19" ht="15.75" customHeight="1" x14ac:dyDescent="0.2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spans="2:19" ht="15.75" customHeight="1" x14ac:dyDescent="0.2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spans="2:19" ht="15.75" customHeight="1" x14ac:dyDescent="0.2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spans="2:19" ht="15.75" customHeight="1" x14ac:dyDescent="0.2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spans="2:19" ht="15.75" customHeight="1" x14ac:dyDescent="0.2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spans="2:19" ht="15.75" customHeight="1" x14ac:dyDescent="0.2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spans="2:19" ht="15.75" customHeight="1" x14ac:dyDescent="0.2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spans="2:19" ht="15.75" customHeight="1" x14ac:dyDescent="0.2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spans="2:19" ht="15.75" customHeight="1" x14ac:dyDescent="0.2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spans="2:19" ht="15.75" customHeight="1" x14ac:dyDescent="0.2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spans="2:19" ht="15.75" customHeight="1" x14ac:dyDescent="0.2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spans="2:19" ht="15.75" customHeight="1" x14ac:dyDescent="0.2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spans="2:19" ht="15.75" customHeight="1" x14ac:dyDescent="0.2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spans="2:19" ht="15.75" customHeight="1" x14ac:dyDescent="0.2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spans="2:19" ht="15.75" customHeight="1" x14ac:dyDescent="0.2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spans="2:19" ht="15.75" customHeight="1" x14ac:dyDescent="0.2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spans="2:19" ht="15.75" customHeight="1" x14ac:dyDescent="0.2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spans="2:19" ht="15.75" customHeight="1" x14ac:dyDescent="0.2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spans="2:19" ht="15.75" customHeight="1" x14ac:dyDescent="0.2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spans="2:19" ht="15.75" customHeight="1" x14ac:dyDescent="0.2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spans="2:19" ht="15.75" customHeight="1" x14ac:dyDescent="0.2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spans="2:19" ht="15.75" customHeight="1" x14ac:dyDescent="0.2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spans="2:19" ht="15.75" customHeight="1" x14ac:dyDescent="0.2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spans="2:19" ht="15.75" customHeight="1" x14ac:dyDescent="0.2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spans="2:19" ht="15.75" customHeight="1" x14ac:dyDescent="0.2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spans="2:19" ht="15.75" customHeight="1" x14ac:dyDescent="0.2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spans="2:19" ht="15.75" customHeight="1" x14ac:dyDescent="0.2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spans="2:19" ht="15.75" customHeight="1" x14ac:dyDescent="0.2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spans="2:19" ht="15.75" customHeight="1" x14ac:dyDescent="0.2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spans="2:19" ht="15.75" customHeight="1" x14ac:dyDescent="0.2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spans="2:19" ht="15.75" customHeight="1" x14ac:dyDescent="0.2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spans="2:19" ht="15.75" customHeight="1" x14ac:dyDescent="0.2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spans="2:19" ht="15.75" customHeight="1" x14ac:dyDescent="0.2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spans="2:19" ht="15.75" customHeight="1" x14ac:dyDescent="0.2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spans="2:19" ht="15.75" customHeight="1" x14ac:dyDescent="0.2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spans="2:19" ht="15.75" customHeight="1" x14ac:dyDescent="0.2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spans="2:19" ht="15.75" customHeight="1" x14ac:dyDescent="0.2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spans="2:19" ht="15.75" customHeight="1" x14ac:dyDescent="0.2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spans="2:19" ht="15.75" customHeight="1" x14ac:dyDescent="0.2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spans="2:19" ht="15.75" customHeight="1" x14ac:dyDescent="0.2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spans="2:19" ht="15.75" customHeight="1" x14ac:dyDescent="0.2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spans="2:19" ht="15.75" customHeight="1" x14ac:dyDescent="0.2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spans="2:19" ht="15.75" customHeight="1" x14ac:dyDescent="0.2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spans="2:19" ht="15.75" customHeight="1" x14ac:dyDescent="0.2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spans="2:19" ht="15.75" customHeight="1" x14ac:dyDescent="0.2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spans="2:19" ht="15.75" customHeight="1" x14ac:dyDescent="0.2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spans="2:19" ht="15.75" customHeight="1" x14ac:dyDescent="0.2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spans="2:19" ht="15.75" customHeight="1" x14ac:dyDescent="0.2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spans="2:19" ht="15.75" customHeight="1" x14ac:dyDescent="0.2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spans="2:19" ht="15.75" customHeight="1" x14ac:dyDescent="0.2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spans="2:19" ht="15.75" customHeight="1" x14ac:dyDescent="0.2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spans="2:19" ht="15.75" customHeight="1" x14ac:dyDescent="0.2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spans="2:19" ht="15.75" customHeight="1" x14ac:dyDescent="0.2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spans="2:19" ht="15.75" customHeight="1" x14ac:dyDescent="0.2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spans="2:19" ht="15.75" customHeight="1" x14ac:dyDescent="0.2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spans="2:19" ht="15.75" customHeight="1" x14ac:dyDescent="0.2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spans="2:19" ht="15.75" customHeight="1" x14ac:dyDescent="0.2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spans="2:19" ht="15.75" customHeight="1" x14ac:dyDescent="0.2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spans="2:19" ht="15.75" customHeight="1" x14ac:dyDescent="0.2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spans="2:19" ht="15.75" customHeight="1" x14ac:dyDescent="0.2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spans="2:19" ht="15.75" customHeight="1" x14ac:dyDescent="0.2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spans="2:19" ht="15.75" customHeight="1" x14ac:dyDescent="0.2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spans="2:19" ht="15.75" customHeight="1" x14ac:dyDescent="0.2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spans="2:19" ht="15.75" customHeight="1" x14ac:dyDescent="0.2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spans="2:19" ht="15.75" customHeight="1" x14ac:dyDescent="0.2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spans="2:19" ht="15.75" customHeight="1" x14ac:dyDescent="0.2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spans="2:19" ht="15.75" customHeight="1" x14ac:dyDescent="0.2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spans="2:19" ht="15.75" customHeight="1" x14ac:dyDescent="0.2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spans="2:19" ht="15.75" customHeight="1" x14ac:dyDescent="0.2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spans="2:19" ht="15.75" customHeight="1" x14ac:dyDescent="0.2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spans="2:19" ht="15.75" customHeight="1" x14ac:dyDescent="0.2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spans="2:19" ht="15.75" customHeight="1" x14ac:dyDescent="0.2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spans="2:19" ht="15.75" customHeight="1" x14ac:dyDescent="0.2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spans="2:19" ht="15.75" customHeight="1" x14ac:dyDescent="0.2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spans="2:19" ht="15.75" customHeight="1" x14ac:dyDescent="0.2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spans="2:19" ht="15.75" customHeight="1" x14ac:dyDescent="0.2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spans="2:19" ht="15.75" customHeight="1" x14ac:dyDescent="0.2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spans="2:19" ht="15.75" customHeight="1" x14ac:dyDescent="0.2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spans="2:19" ht="15.75" customHeight="1" x14ac:dyDescent="0.2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spans="2:19" ht="15.75" customHeight="1" x14ac:dyDescent="0.2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spans="2:19" ht="15.75" customHeight="1" x14ac:dyDescent="0.2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spans="2:19" ht="15.75" customHeight="1" x14ac:dyDescent="0.2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spans="2:19" ht="15.75" customHeight="1" x14ac:dyDescent="0.2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spans="2:19" ht="15.75" customHeight="1" x14ac:dyDescent="0.2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spans="2:19" ht="15.75" customHeight="1" x14ac:dyDescent="0.2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spans="2:19" ht="15.75" customHeight="1" x14ac:dyDescent="0.2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spans="2:19" ht="15.75" customHeight="1" x14ac:dyDescent="0.2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spans="2:19" ht="15.75" customHeight="1" x14ac:dyDescent="0.2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spans="2:19" ht="15.75" customHeight="1" x14ac:dyDescent="0.2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spans="2:19" ht="15.75" customHeight="1" x14ac:dyDescent="0.2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spans="2:19" ht="15.75" customHeight="1" x14ac:dyDescent="0.2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spans="2:19" ht="15.75" customHeight="1" x14ac:dyDescent="0.2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spans="2:19" ht="15.75" customHeight="1" x14ac:dyDescent="0.2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spans="2:19" ht="15.75" customHeight="1" x14ac:dyDescent="0.2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spans="2:19" ht="15.75" customHeight="1" x14ac:dyDescent="0.2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spans="2:19" ht="15.75" customHeight="1" x14ac:dyDescent="0.2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spans="2:19" ht="15.75" customHeight="1" x14ac:dyDescent="0.2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spans="2:19" ht="15.75" customHeight="1" x14ac:dyDescent="0.2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spans="2:19" ht="15.75" customHeight="1" x14ac:dyDescent="0.2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spans="2:19" ht="15.75" customHeight="1" x14ac:dyDescent="0.2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spans="2:19" ht="15.75" customHeight="1" x14ac:dyDescent="0.2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spans="2:19" ht="15.75" customHeight="1" x14ac:dyDescent="0.2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spans="2:19" ht="15.75" customHeight="1" x14ac:dyDescent="0.2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spans="2:19" ht="15.75" customHeight="1" x14ac:dyDescent="0.2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spans="2:19" ht="15.75" customHeight="1" x14ac:dyDescent="0.2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spans="2:19" ht="15.75" customHeight="1" x14ac:dyDescent="0.2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spans="2:19" ht="15.75" customHeight="1" x14ac:dyDescent="0.2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spans="2:19" ht="15.75" customHeight="1" x14ac:dyDescent="0.2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spans="2:19" ht="15.75" customHeight="1" x14ac:dyDescent="0.2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spans="2:19" ht="15.75" customHeight="1" x14ac:dyDescent="0.2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spans="2:19" ht="15.75" customHeight="1" x14ac:dyDescent="0.2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spans="2:19" ht="15.75" customHeight="1" x14ac:dyDescent="0.2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spans="2:19" ht="15.75" customHeight="1" x14ac:dyDescent="0.2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spans="2:19" ht="15.75" customHeight="1" x14ac:dyDescent="0.2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spans="2:19" ht="15.75" customHeight="1" x14ac:dyDescent="0.2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spans="2:19" ht="15.75" customHeight="1" x14ac:dyDescent="0.2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spans="2:19" ht="15.75" customHeight="1" x14ac:dyDescent="0.2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spans="2:19" ht="15.75" customHeight="1" x14ac:dyDescent="0.2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spans="2:19" ht="15.75" customHeight="1" x14ac:dyDescent="0.2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spans="2:19" ht="15.75" customHeight="1" x14ac:dyDescent="0.2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spans="2:19" ht="15.75" customHeight="1" x14ac:dyDescent="0.2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spans="2:19" ht="15.75" customHeight="1" x14ac:dyDescent="0.2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spans="2:19" ht="15.75" customHeight="1" x14ac:dyDescent="0.2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spans="2:19" ht="15.75" customHeight="1" x14ac:dyDescent="0.2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spans="2:19" ht="15.75" customHeight="1" x14ac:dyDescent="0.2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spans="2:19" ht="15.75" customHeight="1" x14ac:dyDescent="0.2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spans="2:19" ht="15.75" customHeight="1" x14ac:dyDescent="0.2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spans="2:19" ht="15.75" customHeight="1" x14ac:dyDescent="0.2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spans="2:19" ht="15.75" customHeight="1" x14ac:dyDescent="0.2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spans="2:19" ht="15.75" customHeight="1" x14ac:dyDescent="0.2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spans="2:19" ht="15.75" customHeight="1" x14ac:dyDescent="0.2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spans="2:19" ht="15.75" customHeight="1" x14ac:dyDescent="0.2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spans="2:19" ht="15.75" customHeight="1" x14ac:dyDescent="0.2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spans="2:19" ht="15.75" customHeight="1" x14ac:dyDescent="0.2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spans="2:19" ht="15.75" customHeight="1" x14ac:dyDescent="0.2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spans="2:19" ht="15.75" customHeight="1" x14ac:dyDescent="0.2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spans="2:19" ht="15.75" customHeight="1" x14ac:dyDescent="0.2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spans="2:19" ht="15.75" customHeight="1" x14ac:dyDescent="0.2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spans="2:19" ht="15.75" customHeight="1" x14ac:dyDescent="0.2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spans="2:19" ht="15.75" customHeight="1" x14ac:dyDescent="0.2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spans="2:19" ht="15.75" customHeight="1" x14ac:dyDescent="0.2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spans="2:19" ht="15.75" customHeight="1" x14ac:dyDescent="0.2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spans="2:19" ht="15.75" customHeight="1" x14ac:dyDescent="0.2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spans="2:19" ht="15.75" customHeight="1" x14ac:dyDescent="0.2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spans="2:19" ht="15.75" customHeight="1" x14ac:dyDescent="0.2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spans="2:19" ht="15.75" customHeight="1" x14ac:dyDescent="0.2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spans="2:19" ht="15.75" customHeight="1" x14ac:dyDescent="0.2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spans="2:19" ht="15.75" customHeight="1" x14ac:dyDescent="0.2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spans="2:19" ht="15.75" customHeight="1" x14ac:dyDescent="0.2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spans="2:19" ht="15.75" customHeight="1" x14ac:dyDescent="0.2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spans="2:19" ht="15.75" customHeight="1" x14ac:dyDescent="0.2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spans="2:19" ht="15.75" customHeight="1" x14ac:dyDescent="0.2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spans="2:19" ht="15.75" customHeight="1" x14ac:dyDescent="0.2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spans="2:19" ht="15.75" customHeight="1" x14ac:dyDescent="0.2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spans="2:19" ht="15.75" customHeight="1" x14ac:dyDescent="0.2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spans="2:19" ht="15.75" customHeight="1" x14ac:dyDescent="0.2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spans="2:19" ht="15.75" customHeight="1" x14ac:dyDescent="0.2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spans="2:19" ht="15.75" customHeight="1" x14ac:dyDescent="0.2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spans="2:19" ht="15.75" customHeight="1" x14ac:dyDescent="0.2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spans="2:19" ht="15.75" customHeight="1" x14ac:dyDescent="0.2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spans="2:19" ht="15.75" customHeight="1" x14ac:dyDescent="0.2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spans="2:19" ht="15.75" customHeight="1" x14ac:dyDescent="0.2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spans="2:19" ht="15.75" customHeight="1" x14ac:dyDescent="0.2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spans="2:19" ht="15.75" customHeight="1" x14ac:dyDescent="0.2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spans="2:19" ht="15.75" customHeight="1" x14ac:dyDescent="0.2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spans="2:19" ht="15.75" customHeight="1" x14ac:dyDescent="0.2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spans="2:19" ht="15.75" customHeight="1" x14ac:dyDescent="0.2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spans="2:19" ht="15.75" customHeight="1" x14ac:dyDescent="0.2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spans="2:19" ht="15.75" customHeight="1" x14ac:dyDescent="0.2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spans="2:19" ht="15.75" customHeight="1" x14ac:dyDescent="0.2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spans="2:19" ht="15.75" customHeight="1" x14ac:dyDescent="0.2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spans="2:19" ht="15.75" customHeight="1" x14ac:dyDescent="0.2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spans="2:19" ht="15.75" customHeight="1" x14ac:dyDescent="0.2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spans="2:19" ht="15.75" customHeight="1" x14ac:dyDescent="0.2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spans="2:19" ht="15.75" customHeight="1" x14ac:dyDescent="0.2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spans="2:19" ht="15.75" customHeight="1" x14ac:dyDescent="0.2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spans="2:19" ht="15.75" customHeight="1" x14ac:dyDescent="0.2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spans="2:19" ht="15.75" customHeight="1" x14ac:dyDescent="0.2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spans="2:19" ht="15.75" customHeight="1" x14ac:dyDescent="0.2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spans="2:19" ht="15.75" customHeight="1" x14ac:dyDescent="0.2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spans="2:19" ht="15.75" customHeight="1" x14ac:dyDescent="0.2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spans="2:19" ht="15.75" customHeight="1" x14ac:dyDescent="0.2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spans="2:19" ht="15.75" customHeight="1" x14ac:dyDescent="0.2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spans="2:19" ht="15.75" customHeight="1" x14ac:dyDescent="0.2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spans="2:19" ht="15.75" customHeight="1" x14ac:dyDescent="0.2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spans="2:19" ht="15.75" customHeight="1" x14ac:dyDescent="0.2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spans="2:19" ht="15.75" customHeight="1" x14ac:dyDescent="0.2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spans="2:19" ht="15.75" customHeight="1" x14ac:dyDescent="0.2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spans="2:19" ht="15.75" customHeight="1" x14ac:dyDescent="0.2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spans="2:19" ht="15.75" customHeight="1" x14ac:dyDescent="0.2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spans="2:19" ht="15.75" customHeight="1" x14ac:dyDescent="0.2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spans="2:19" ht="15.75" customHeight="1" x14ac:dyDescent="0.2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spans="2:19" ht="15.75" customHeight="1" x14ac:dyDescent="0.2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spans="2:19" ht="15.75" customHeight="1" x14ac:dyDescent="0.2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spans="2:19" ht="15.75" customHeight="1" x14ac:dyDescent="0.2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spans="2:19" ht="15.75" customHeight="1" x14ac:dyDescent="0.2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spans="2:19" ht="15.75" customHeight="1" x14ac:dyDescent="0.2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spans="2:19" ht="15.75" customHeight="1" x14ac:dyDescent="0.2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spans="2:19" ht="15.75" customHeight="1" x14ac:dyDescent="0.2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spans="2:19" ht="15.75" customHeight="1" x14ac:dyDescent="0.2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spans="2:19" ht="15.75" customHeight="1" x14ac:dyDescent="0.2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spans="2:19" ht="15.75" customHeight="1" x14ac:dyDescent="0.2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spans="2:19" ht="15.75" customHeight="1" x14ac:dyDescent="0.2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spans="2:19" ht="15.75" customHeight="1" x14ac:dyDescent="0.2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spans="2:19" ht="15.75" customHeight="1" x14ac:dyDescent="0.2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spans="2:19" ht="15.75" customHeight="1" x14ac:dyDescent="0.2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spans="2:19" ht="15.75" customHeight="1" x14ac:dyDescent="0.2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spans="2:19" ht="15.75" customHeight="1" x14ac:dyDescent="0.2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spans="2:19" ht="15.75" customHeight="1" x14ac:dyDescent="0.2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spans="2:19" ht="15.75" customHeight="1" x14ac:dyDescent="0.2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spans="2:19" ht="15.75" customHeight="1" x14ac:dyDescent="0.2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spans="2:19" ht="15.75" customHeight="1" x14ac:dyDescent="0.2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spans="2:19" ht="15.75" customHeight="1" x14ac:dyDescent="0.2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spans="2:19" ht="15.75" customHeight="1" x14ac:dyDescent="0.2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spans="2:19" ht="15.75" customHeight="1" x14ac:dyDescent="0.2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spans="2:19" ht="15.75" customHeight="1" x14ac:dyDescent="0.2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spans="2:19" ht="15.75" customHeight="1" x14ac:dyDescent="0.2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spans="2:19" ht="15.75" customHeight="1" x14ac:dyDescent="0.2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spans="2:19" ht="15.75" customHeight="1" x14ac:dyDescent="0.2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spans="2:19" ht="15.75" customHeight="1" x14ac:dyDescent="0.2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spans="2:19" ht="15.75" customHeight="1" x14ac:dyDescent="0.2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spans="2:19" ht="15.75" customHeight="1" x14ac:dyDescent="0.2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spans="2:19" ht="15.75" customHeight="1" x14ac:dyDescent="0.2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spans="2:19" ht="15.75" customHeight="1" x14ac:dyDescent="0.2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spans="2:19" ht="15.75" customHeight="1" x14ac:dyDescent="0.2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spans="2:19" ht="15.75" customHeight="1" x14ac:dyDescent="0.2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spans="2:19" ht="15.75" customHeight="1" x14ac:dyDescent="0.2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spans="2:19" ht="15.75" customHeight="1" x14ac:dyDescent="0.2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spans="2:19" ht="15.75" customHeight="1" x14ac:dyDescent="0.2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spans="2:19" ht="15.75" customHeight="1" x14ac:dyDescent="0.2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spans="2:19" ht="15.75" customHeight="1" x14ac:dyDescent="0.2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spans="2:19" ht="15.75" customHeight="1" x14ac:dyDescent="0.2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spans="2:19" ht="15.75" customHeight="1" x14ac:dyDescent="0.2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spans="2:19" ht="15.75" customHeight="1" x14ac:dyDescent="0.2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spans="2:19" ht="15.75" customHeight="1" x14ac:dyDescent="0.2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spans="2:19" ht="15.75" customHeight="1" x14ac:dyDescent="0.2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spans="2:19" ht="15.75" customHeight="1" x14ac:dyDescent="0.2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spans="2:19" ht="15.75" customHeight="1" x14ac:dyDescent="0.2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spans="2:19" ht="15.75" customHeight="1" x14ac:dyDescent="0.2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spans="2:19" ht="15.75" customHeight="1" x14ac:dyDescent="0.2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spans="2:19" ht="15.75" customHeight="1" x14ac:dyDescent="0.2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spans="2:19" ht="15.75" customHeight="1" x14ac:dyDescent="0.2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spans="2:19" ht="15.75" customHeight="1" x14ac:dyDescent="0.2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spans="2:19" ht="15.75" customHeight="1" x14ac:dyDescent="0.2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spans="2:19" ht="15.75" customHeight="1" x14ac:dyDescent="0.2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spans="2:19" ht="15.75" customHeight="1" x14ac:dyDescent="0.2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spans="2:19" ht="15.75" customHeight="1" x14ac:dyDescent="0.2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spans="2:19" ht="15.75" customHeight="1" x14ac:dyDescent="0.2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spans="2:19" ht="15.75" customHeight="1" x14ac:dyDescent="0.2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spans="2:19" ht="15.75" customHeight="1" x14ac:dyDescent="0.2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spans="2:19" ht="15.75" customHeight="1" x14ac:dyDescent="0.2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spans="2:19" ht="15.75" customHeight="1" x14ac:dyDescent="0.2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spans="2:19" ht="15.75" customHeight="1" x14ac:dyDescent="0.2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spans="2:19" ht="15.75" customHeight="1" x14ac:dyDescent="0.2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spans="2:19" ht="15.75" customHeight="1" x14ac:dyDescent="0.2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spans="2:19" ht="15.75" customHeight="1" x14ac:dyDescent="0.2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spans="2:19" ht="15.75" customHeight="1" x14ac:dyDescent="0.2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spans="2:19" ht="15.75" customHeight="1" x14ac:dyDescent="0.2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spans="2:19" ht="15.75" customHeight="1" x14ac:dyDescent="0.2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spans="2:19" ht="15.75" customHeight="1" x14ac:dyDescent="0.2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spans="2:19" ht="15.75" customHeight="1" x14ac:dyDescent="0.2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spans="2:19" ht="15.75" customHeight="1" x14ac:dyDescent="0.2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spans="2:19" ht="15.75" customHeight="1" x14ac:dyDescent="0.2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spans="2:19" ht="15.75" customHeight="1" x14ac:dyDescent="0.2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spans="2:19" ht="15.75" customHeight="1" x14ac:dyDescent="0.2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spans="2:19" ht="15.75" customHeight="1" x14ac:dyDescent="0.2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spans="2:19" ht="15.75" customHeight="1" x14ac:dyDescent="0.2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spans="2:19" ht="15.75" customHeight="1" x14ac:dyDescent="0.2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spans="2:19" ht="15.75" customHeight="1" x14ac:dyDescent="0.2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spans="2:19" ht="15.75" customHeight="1" x14ac:dyDescent="0.2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spans="2:19" ht="15.75" customHeight="1" x14ac:dyDescent="0.2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spans="2:19" ht="15.75" customHeight="1" x14ac:dyDescent="0.2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spans="2:19" ht="15.75" customHeight="1" x14ac:dyDescent="0.2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spans="2:19" ht="15.75" customHeight="1" x14ac:dyDescent="0.2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spans="2:19" ht="15.75" customHeight="1" x14ac:dyDescent="0.2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spans="2:19" ht="15.75" customHeight="1" x14ac:dyDescent="0.2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spans="2:19" ht="15.75" customHeight="1" x14ac:dyDescent="0.2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spans="2:19" ht="15.75" customHeight="1" x14ac:dyDescent="0.2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spans="2:19" ht="15.75" customHeight="1" x14ac:dyDescent="0.2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spans="2:19" ht="15.75" customHeight="1" x14ac:dyDescent="0.2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spans="2:19" ht="15.75" customHeight="1" x14ac:dyDescent="0.2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spans="2:19" ht="15.75" customHeight="1" x14ac:dyDescent="0.2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spans="2:19" ht="15.75" customHeight="1" x14ac:dyDescent="0.2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spans="2:19" ht="15.75" customHeight="1" x14ac:dyDescent="0.2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spans="2:19" ht="15.75" customHeight="1" x14ac:dyDescent="0.2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spans="2:19" ht="15.75" customHeight="1" x14ac:dyDescent="0.2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spans="2:19" ht="15.75" customHeight="1" x14ac:dyDescent="0.2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spans="2:19" ht="15.75" customHeight="1" x14ac:dyDescent="0.2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spans="2:19" ht="15.75" customHeight="1" x14ac:dyDescent="0.2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spans="2:19" ht="15.75" customHeight="1" x14ac:dyDescent="0.2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spans="2:19" ht="15.75" customHeight="1" x14ac:dyDescent="0.2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spans="2:19" ht="15.75" customHeight="1" x14ac:dyDescent="0.2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spans="2:19" ht="15.75" customHeight="1" x14ac:dyDescent="0.2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spans="2:19" ht="15.75" customHeight="1" x14ac:dyDescent="0.2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spans="2:19" ht="15.75" customHeight="1" x14ac:dyDescent="0.2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spans="2:19" ht="15.75" customHeight="1" x14ac:dyDescent="0.2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spans="2:19" ht="15.75" customHeight="1" x14ac:dyDescent="0.2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spans="2:19" ht="15.75" customHeight="1" x14ac:dyDescent="0.2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spans="2:19" ht="15.75" customHeight="1" x14ac:dyDescent="0.2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spans="2:19" ht="15.75" customHeight="1" x14ac:dyDescent="0.2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spans="2:19" ht="15.75" customHeight="1" x14ac:dyDescent="0.2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spans="2:19" ht="15.75" customHeight="1" x14ac:dyDescent="0.2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spans="2:19" ht="15.75" customHeight="1" x14ac:dyDescent="0.2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spans="2:19" ht="15.75" customHeight="1" x14ac:dyDescent="0.2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spans="2:19" ht="15.75" customHeight="1" x14ac:dyDescent="0.2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spans="2:19" ht="15.75" customHeight="1" x14ac:dyDescent="0.2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spans="2:19" ht="15.75" customHeight="1" x14ac:dyDescent="0.2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spans="2:19" ht="15.75" customHeight="1" x14ac:dyDescent="0.2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spans="2:19" ht="15.75" customHeight="1" x14ac:dyDescent="0.2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spans="2:19" ht="15.75" customHeight="1" x14ac:dyDescent="0.2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spans="2:19" ht="15.75" customHeight="1" x14ac:dyDescent="0.2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spans="2:19" ht="15.75" customHeight="1" x14ac:dyDescent="0.2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spans="2:19" ht="15.75" customHeight="1" x14ac:dyDescent="0.2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spans="2:19" ht="15.75" customHeight="1" x14ac:dyDescent="0.2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spans="2:19" ht="15.75" customHeight="1" x14ac:dyDescent="0.2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spans="2:19" ht="15.75" customHeight="1" x14ac:dyDescent="0.2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spans="2:19" ht="15.75" customHeight="1" x14ac:dyDescent="0.2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spans="2:19" ht="15.75" customHeight="1" x14ac:dyDescent="0.2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spans="2:19" ht="15.75" customHeight="1" x14ac:dyDescent="0.2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spans="2:19" ht="15.75" customHeight="1" x14ac:dyDescent="0.2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spans="2:19" ht="15.75" customHeight="1" x14ac:dyDescent="0.2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spans="2:19" ht="15.75" customHeight="1" x14ac:dyDescent="0.2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spans="2:19" ht="15.75" customHeight="1" x14ac:dyDescent="0.2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spans="2:19" ht="15.75" customHeight="1" x14ac:dyDescent="0.2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spans="2:19" ht="15.75" customHeight="1" x14ac:dyDescent="0.2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spans="2:19" ht="15.75" customHeight="1" x14ac:dyDescent="0.2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spans="2:19" ht="15.75" customHeight="1" x14ac:dyDescent="0.2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spans="2:19" ht="15.75" customHeight="1" x14ac:dyDescent="0.2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spans="2:19" ht="15.75" customHeight="1" x14ac:dyDescent="0.2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spans="2:19" ht="15.75" customHeight="1" x14ac:dyDescent="0.2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spans="2:19" ht="15.75" customHeight="1" x14ac:dyDescent="0.2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spans="2:19" ht="15.75" customHeight="1" x14ac:dyDescent="0.2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spans="2:19" ht="15.75" customHeight="1" x14ac:dyDescent="0.2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spans="2:19" ht="15.75" customHeight="1" x14ac:dyDescent="0.2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spans="2:19" ht="15.75" customHeight="1" x14ac:dyDescent="0.2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spans="2:19" ht="15.75" customHeight="1" x14ac:dyDescent="0.2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spans="2:19" ht="15.75" customHeight="1" x14ac:dyDescent="0.2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spans="2:19" ht="15.75" customHeight="1" x14ac:dyDescent="0.2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spans="2:19" ht="15.75" customHeight="1" x14ac:dyDescent="0.2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spans="2:19" ht="15.75" customHeight="1" x14ac:dyDescent="0.2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spans="2:19" ht="15.75" customHeight="1" x14ac:dyDescent="0.2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spans="2:19" ht="15.75" customHeight="1" x14ac:dyDescent="0.2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spans="2:19" ht="15.75" customHeight="1" x14ac:dyDescent="0.2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spans="2:19" ht="15.75" customHeight="1" x14ac:dyDescent="0.2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spans="2:19" ht="15.75" customHeight="1" x14ac:dyDescent="0.2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spans="2:19" ht="15.75" customHeight="1" x14ac:dyDescent="0.2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spans="2:19" ht="15.75" customHeight="1" x14ac:dyDescent="0.2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spans="2:19" ht="15.75" customHeight="1" x14ac:dyDescent="0.2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spans="2:19" ht="15.75" customHeight="1" x14ac:dyDescent="0.2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spans="2:19" ht="15.75" customHeight="1" x14ac:dyDescent="0.2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spans="2:19" ht="15.75" customHeight="1" x14ac:dyDescent="0.2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spans="2:19" ht="15.75" customHeight="1" x14ac:dyDescent="0.2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spans="2:19" ht="15.75" customHeight="1" x14ac:dyDescent="0.2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spans="2:19" ht="15.75" customHeight="1" x14ac:dyDescent="0.2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spans="2:19" ht="15.75" customHeight="1" x14ac:dyDescent="0.2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spans="2:19" ht="15.75" customHeight="1" x14ac:dyDescent="0.2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spans="2:19" ht="15.75" customHeight="1" x14ac:dyDescent="0.2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spans="2:19" ht="15.75" customHeight="1" x14ac:dyDescent="0.2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spans="2:19" ht="15.75" customHeight="1" x14ac:dyDescent="0.2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spans="2:19" ht="15.75" customHeight="1" x14ac:dyDescent="0.2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spans="2:19" ht="15.75" customHeight="1" x14ac:dyDescent="0.2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spans="2:19" ht="15.75" customHeight="1" x14ac:dyDescent="0.2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spans="2:19" ht="15.75" customHeight="1" x14ac:dyDescent="0.2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spans="2:19" ht="15.75" customHeight="1" x14ac:dyDescent="0.2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spans="2:19" ht="15.75" customHeight="1" x14ac:dyDescent="0.2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spans="2:19" ht="15.75" customHeight="1" x14ac:dyDescent="0.2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spans="2:19" ht="15.75" customHeight="1" x14ac:dyDescent="0.2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spans="2:19" ht="15.75" customHeight="1" x14ac:dyDescent="0.2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spans="2:19" ht="15.75" customHeight="1" x14ac:dyDescent="0.2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spans="2:19" ht="15.75" customHeight="1" x14ac:dyDescent="0.2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spans="2:19" ht="15.75" customHeight="1" x14ac:dyDescent="0.2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spans="2:19" ht="15.75" customHeight="1" x14ac:dyDescent="0.2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spans="2:19" ht="15.75" customHeight="1" x14ac:dyDescent="0.2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spans="2:19" ht="15.75" customHeight="1" x14ac:dyDescent="0.2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spans="2:19" ht="15.75" customHeight="1" x14ac:dyDescent="0.2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spans="2:19" ht="15.75" customHeight="1" x14ac:dyDescent="0.2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spans="2:19" ht="15.75" customHeight="1" x14ac:dyDescent="0.2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spans="2:19" ht="15.75" customHeight="1" x14ac:dyDescent="0.2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spans="2:19" ht="15.75" customHeight="1" x14ac:dyDescent="0.2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spans="2:19" ht="15.75" customHeight="1" x14ac:dyDescent="0.2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spans="2:19" ht="15.75" customHeight="1" x14ac:dyDescent="0.2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spans="2:19" ht="15.75" customHeight="1" x14ac:dyDescent="0.2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spans="2:19" ht="15.75" customHeight="1" x14ac:dyDescent="0.2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spans="2:19" ht="15.75" customHeight="1" x14ac:dyDescent="0.2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spans="2:19" ht="15.75" customHeight="1" x14ac:dyDescent="0.2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spans="2:19" ht="15.75" customHeight="1" x14ac:dyDescent="0.2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spans="2:19" ht="15.75" customHeight="1" x14ac:dyDescent="0.2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spans="2:19" ht="15.75" customHeight="1" x14ac:dyDescent="0.2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spans="2:19" ht="15.75" customHeight="1" x14ac:dyDescent="0.2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spans="2:19" ht="15.75" customHeight="1" x14ac:dyDescent="0.2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spans="2:19" ht="15.75" customHeight="1" x14ac:dyDescent="0.2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spans="2:19" ht="15.75" customHeight="1" x14ac:dyDescent="0.2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spans="2:19" ht="15.75" customHeight="1" x14ac:dyDescent="0.2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spans="2:19" ht="15.75" customHeight="1" x14ac:dyDescent="0.2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spans="2:19" ht="15.75" customHeight="1" x14ac:dyDescent="0.2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spans="2:19" ht="15.75" customHeight="1" x14ac:dyDescent="0.2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spans="2:19" ht="15.75" customHeight="1" x14ac:dyDescent="0.2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spans="2:19" ht="15.75" customHeight="1" x14ac:dyDescent="0.2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spans="2:19" ht="15.75" customHeight="1" x14ac:dyDescent="0.2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spans="2:19" ht="15.75" customHeight="1" x14ac:dyDescent="0.2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spans="2:19" ht="15.75" customHeight="1" x14ac:dyDescent="0.2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spans="2:19" ht="15.75" customHeight="1" x14ac:dyDescent="0.2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spans="2:19" ht="15.75" customHeight="1" x14ac:dyDescent="0.2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spans="2:19" ht="15.75" customHeight="1" x14ac:dyDescent="0.2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spans="2:19" ht="15.75" customHeight="1" x14ac:dyDescent="0.2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spans="2:19" ht="15.75" customHeight="1" x14ac:dyDescent="0.2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spans="2:19" ht="15.75" customHeight="1" x14ac:dyDescent="0.2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spans="2:19" ht="15.75" customHeight="1" x14ac:dyDescent="0.2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spans="2:19" ht="15.75" customHeight="1" x14ac:dyDescent="0.2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spans="2:19" ht="15.75" customHeight="1" x14ac:dyDescent="0.2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spans="2:19" ht="15.75" customHeight="1" x14ac:dyDescent="0.2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spans="2:19" ht="15.75" customHeight="1" x14ac:dyDescent="0.2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spans="2:19" ht="15.75" customHeight="1" x14ac:dyDescent="0.2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spans="2:19" ht="15.75" customHeight="1" x14ac:dyDescent="0.2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spans="2:19" ht="15.75" customHeight="1" x14ac:dyDescent="0.2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spans="2:19" ht="15.75" customHeight="1" x14ac:dyDescent="0.2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spans="2:19" ht="15.75" customHeight="1" x14ac:dyDescent="0.2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spans="2:19" ht="15.75" customHeight="1" x14ac:dyDescent="0.2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spans="2:19" ht="15.75" customHeight="1" x14ac:dyDescent="0.2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spans="2:19" ht="15.75" customHeight="1" x14ac:dyDescent="0.2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spans="2:19" ht="15.75" customHeight="1" x14ac:dyDescent="0.2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spans="2:19" ht="15.75" customHeight="1" x14ac:dyDescent="0.2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spans="2:19" ht="15.75" customHeight="1" x14ac:dyDescent="0.2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spans="2:19" ht="15.75" customHeight="1" x14ac:dyDescent="0.2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spans="2:19" ht="15.75" customHeight="1" x14ac:dyDescent="0.2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spans="2:19" ht="15.75" customHeight="1" x14ac:dyDescent="0.2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spans="2:19" ht="15.75" customHeight="1" x14ac:dyDescent="0.2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spans="2:19" ht="15.75" customHeight="1" x14ac:dyDescent="0.2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spans="2:19" ht="15.75" customHeight="1" x14ac:dyDescent="0.2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spans="2:19" ht="15.75" customHeight="1" x14ac:dyDescent="0.2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spans="2:19" ht="15.75" customHeight="1" x14ac:dyDescent="0.2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spans="2:19" ht="15.75" customHeight="1" x14ac:dyDescent="0.2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spans="2:19" ht="15.75" customHeight="1" x14ac:dyDescent="0.2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spans="2:19" ht="15.75" customHeight="1" x14ac:dyDescent="0.2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spans="2:19" ht="15.75" customHeight="1" x14ac:dyDescent="0.2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spans="2:19" ht="15.75" customHeight="1" x14ac:dyDescent="0.2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spans="2:19" ht="15.75" customHeight="1" x14ac:dyDescent="0.2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spans="2:19" ht="15.75" customHeight="1" x14ac:dyDescent="0.2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spans="2:19" ht="15.75" customHeight="1" x14ac:dyDescent="0.2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spans="2:19" ht="15.75" customHeight="1" x14ac:dyDescent="0.2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spans="2:19" ht="15.75" customHeight="1" x14ac:dyDescent="0.2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spans="2:19" ht="15.75" customHeight="1" x14ac:dyDescent="0.2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spans="2:19" ht="15.75" customHeight="1" x14ac:dyDescent="0.2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spans="2:19" ht="15.75" customHeight="1" x14ac:dyDescent="0.2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spans="2:19" ht="15.75" customHeight="1" x14ac:dyDescent="0.2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spans="2:19" ht="15.75" customHeight="1" x14ac:dyDescent="0.2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spans="2:19" ht="15.75" customHeight="1" x14ac:dyDescent="0.2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spans="2:19" ht="15.75" customHeight="1" x14ac:dyDescent="0.2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spans="2:19" ht="15.75" customHeight="1" x14ac:dyDescent="0.2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spans="2:19" ht="15.75" customHeight="1" x14ac:dyDescent="0.2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spans="2:19" ht="15.75" customHeight="1" x14ac:dyDescent="0.2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spans="2:19" ht="15.75" customHeight="1" x14ac:dyDescent="0.2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spans="2:19" ht="15.75" customHeight="1" x14ac:dyDescent="0.2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spans="2:19" ht="15.75" customHeight="1" x14ac:dyDescent="0.2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spans="2:19" ht="15.75" customHeight="1" x14ac:dyDescent="0.2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spans="2:19" ht="15.75" customHeight="1" x14ac:dyDescent="0.2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spans="2:19" ht="15.75" customHeight="1" x14ac:dyDescent="0.2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spans="2:19" ht="15.75" customHeight="1" x14ac:dyDescent="0.2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spans="2:19" ht="15.75" customHeight="1" x14ac:dyDescent="0.2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spans="2:19" ht="15.75" customHeight="1" x14ac:dyDescent="0.2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spans="2:19" ht="15.75" customHeight="1" x14ac:dyDescent="0.2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spans="2:19" ht="15.75" customHeight="1" x14ac:dyDescent="0.2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spans="2:19" ht="15.75" customHeight="1" x14ac:dyDescent="0.2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spans="2:19" ht="15.75" customHeight="1" x14ac:dyDescent="0.2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spans="2:19" ht="15.75" customHeight="1" x14ac:dyDescent="0.2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spans="2:19" ht="15.75" customHeight="1" x14ac:dyDescent="0.2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spans="2:19" ht="15.75" customHeight="1" x14ac:dyDescent="0.2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spans="2:19" ht="15.75" customHeight="1" x14ac:dyDescent="0.2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spans="2:19" ht="15.75" customHeight="1" x14ac:dyDescent="0.2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spans="2:19" ht="15.75" customHeight="1" x14ac:dyDescent="0.2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spans="2:19" ht="15.75" customHeight="1" x14ac:dyDescent="0.2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spans="2:19" ht="15.75" customHeight="1" x14ac:dyDescent="0.2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spans="2:19" ht="15.75" customHeight="1" x14ac:dyDescent="0.2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spans="2:19" ht="15.75" customHeight="1" x14ac:dyDescent="0.2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spans="2:19" ht="15.75" customHeight="1" x14ac:dyDescent="0.2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spans="2:19" ht="15.75" customHeight="1" x14ac:dyDescent="0.2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spans="2:19" ht="15.75" customHeight="1" x14ac:dyDescent="0.2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430A-EE14-1A41-BB97-CE582806B52F}">
  <sheetPr>
    <tabColor theme="7" tint="0.59999389629810485"/>
  </sheetPr>
  <dimension ref="A1"/>
  <sheetViews>
    <sheetView showGridLines="0" workbookViewId="0">
      <selection activeCell="G15" sqref="G15"/>
    </sheetView>
  </sheetViews>
  <sheetFormatPr baseColWidth="10" defaultRowHeight="16" x14ac:dyDescent="0.2"/>
  <sheetData/>
  <sheetProtection algorithmName="SHA-512" hashValue="XL1gNyYl6R2YPLJYFeg4oYLya8ayRPXDIFcUEjG9qkD08Ogf/TPzMcx8FOd/Heyyt/B22MQf/sqKiuBKPrzdyA==" saltValue="vbJahawQyFkgb3K2pLZ6Rw==" spinCount="100000" sheet="1" objects="1" scenarios="1"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C098-95BA-434D-848F-E4E1223BD273}">
  <sheetPr>
    <tabColor theme="7" tint="0.59999389629810485"/>
  </sheetPr>
  <dimension ref="A1:K58"/>
  <sheetViews>
    <sheetView showGridLines="0" workbookViewId="0">
      <selection activeCell="K25" sqref="K25"/>
    </sheetView>
  </sheetViews>
  <sheetFormatPr baseColWidth="10" defaultRowHeight="16" x14ac:dyDescent="0.2"/>
  <cols>
    <col min="1" max="1" width="44.83203125" customWidth="1"/>
    <col min="2" max="2" width="23.33203125" customWidth="1"/>
    <col min="3" max="3" width="17.1640625" customWidth="1"/>
    <col min="4" max="4" width="16" customWidth="1"/>
    <col min="5" max="5" width="18.1640625" customWidth="1"/>
  </cols>
  <sheetData>
    <row r="1" spans="1:11" x14ac:dyDescent="0.2">
      <c r="A1" s="98"/>
      <c r="B1" s="98">
        <v>2024</v>
      </c>
      <c r="C1" s="98">
        <v>2023</v>
      </c>
      <c r="D1" s="98">
        <v>2022</v>
      </c>
      <c r="E1" s="98">
        <v>2021</v>
      </c>
    </row>
    <row r="2" spans="1:11" x14ac:dyDescent="0.2">
      <c r="A2" s="97" t="s">
        <v>124</v>
      </c>
      <c r="B2" s="101">
        <v>91361</v>
      </c>
      <c r="C2" s="101">
        <v>88898</v>
      </c>
      <c r="D2" s="101">
        <v>82722</v>
      </c>
      <c r="E2" s="101">
        <v>67418</v>
      </c>
    </row>
    <row r="3" spans="1:11" x14ac:dyDescent="0.2">
      <c r="A3" s="98" t="s">
        <v>194</v>
      </c>
      <c r="B3" s="102">
        <v>91361</v>
      </c>
      <c r="C3" s="102">
        <v>88898</v>
      </c>
      <c r="D3" s="102">
        <v>82722</v>
      </c>
      <c r="E3" s="102">
        <v>67418</v>
      </c>
      <c r="H3" s="102"/>
      <c r="I3" s="102"/>
      <c r="J3" s="102"/>
      <c r="K3" s="102"/>
    </row>
    <row r="4" spans="1:11" x14ac:dyDescent="0.2">
      <c r="A4" s="97" t="s">
        <v>195</v>
      </c>
      <c r="B4" s="97" t="s">
        <v>140</v>
      </c>
      <c r="C4" s="97" t="s">
        <v>140</v>
      </c>
      <c r="D4" s="97" t="s">
        <v>140</v>
      </c>
      <c r="E4" s="97" t="s">
        <v>140</v>
      </c>
      <c r="H4" s="100"/>
      <c r="I4" s="100"/>
      <c r="J4" s="100"/>
    </row>
    <row r="5" spans="1:11" x14ac:dyDescent="0.2">
      <c r="A5" s="103" t="s">
        <v>196</v>
      </c>
      <c r="B5" s="104">
        <v>91361</v>
      </c>
      <c r="C5" s="104">
        <v>88898</v>
      </c>
      <c r="D5" s="104">
        <v>82722</v>
      </c>
      <c r="E5" s="104">
        <v>67418</v>
      </c>
    </row>
    <row r="6" spans="1:11" x14ac:dyDescent="0.2">
      <c r="A6" s="97" t="s">
        <v>197</v>
      </c>
      <c r="B6" s="101">
        <v>58698</v>
      </c>
      <c r="C6" s="101">
        <v>59201</v>
      </c>
      <c r="D6" s="101">
        <v>54401</v>
      </c>
      <c r="E6" s="101">
        <v>45131</v>
      </c>
    </row>
    <row r="7" spans="1:11" x14ac:dyDescent="0.2">
      <c r="A7" s="98" t="s">
        <v>198</v>
      </c>
      <c r="B7" s="102">
        <v>58698</v>
      </c>
      <c r="C7" s="102">
        <v>59201</v>
      </c>
      <c r="D7" s="102">
        <v>54401</v>
      </c>
      <c r="E7" s="102">
        <v>45131</v>
      </c>
    </row>
    <row r="8" spans="1:11" x14ac:dyDescent="0.2">
      <c r="A8" s="103" t="s">
        <v>8</v>
      </c>
      <c r="B8" s="104">
        <v>32663</v>
      </c>
      <c r="C8" s="104">
        <v>29697</v>
      </c>
      <c r="D8" s="104">
        <v>28321</v>
      </c>
      <c r="E8" s="104">
        <v>22287</v>
      </c>
    </row>
    <row r="9" spans="1:11" x14ac:dyDescent="0.2">
      <c r="A9" s="97" t="s">
        <v>199</v>
      </c>
      <c r="B9" s="101">
        <v>15759</v>
      </c>
      <c r="C9" s="101">
        <v>15336</v>
      </c>
      <c r="D9" s="101">
        <v>16388</v>
      </c>
      <c r="E9" s="101">
        <v>13517</v>
      </c>
    </row>
    <row r="10" spans="1:11" x14ac:dyDescent="0.2">
      <c r="A10" s="98" t="s">
        <v>200</v>
      </c>
      <c r="B10" s="102">
        <v>15759</v>
      </c>
      <c r="C10" s="102">
        <v>15336</v>
      </c>
      <c r="D10" s="102">
        <v>16388</v>
      </c>
      <c r="E10" s="102">
        <v>13517</v>
      </c>
    </row>
    <row r="11" spans="1:11" x14ac:dyDescent="0.2">
      <c r="A11" s="97" t="s">
        <v>201</v>
      </c>
      <c r="B11" s="97" t="s">
        <v>140</v>
      </c>
      <c r="C11" s="97" t="s">
        <v>140</v>
      </c>
      <c r="D11" s="97" t="s">
        <v>140</v>
      </c>
      <c r="E11" s="97" t="s">
        <v>140</v>
      </c>
    </row>
    <row r="12" spans="1:11" x14ac:dyDescent="0.2">
      <c r="A12" s="97" t="s">
        <v>202</v>
      </c>
      <c r="B12" s="101">
        <v>4990</v>
      </c>
      <c r="C12" s="101">
        <v>5369</v>
      </c>
      <c r="D12" s="101">
        <v>5163</v>
      </c>
      <c r="E12" s="101">
        <v>5111</v>
      </c>
    </row>
    <row r="13" spans="1:11" x14ac:dyDescent="0.2">
      <c r="A13" s="97" t="s">
        <v>203</v>
      </c>
      <c r="B13" s="97" t="s">
        <v>140</v>
      </c>
      <c r="C13" s="97" t="s">
        <v>140</v>
      </c>
      <c r="D13" s="97" t="s">
        <v>140</v>
      </c>
      <c r="E13" s="97" t="s">
        <v>140</v>
      </c>
    </row>
    <row r="14" spans="1:11" x14ac:dyDescent="0.2">
      <c r="A14" s="97" t="s">
        <v>204</v>
      </c>
      <c r="B14" s="97" t="s">
        <v>140</v>
      </c>
      <c r="C14" s="97" t="s">
        <v>140</v>
      </c>
      <c r="D14" s="97" t="s">
        <v>140</v>
      </c>
      <c r="E14" s="97" t="s">
        <v>140</v>
      </c>
    </row>
    <row r="15" spans="1:11" x14ac:dyDescent="0.2">
      <c r="A15" s="97" t="s">
        <v>205</v>
      </c>
      <c r="B15" s="97" t="s">
        <v>140</v>
      </c>
      <c r="C15" s="97" t="s">
        <v>140</v>
      </c>
      <c r="D15" s="97" t="s">
        <v>140</v>
      </c>
      <c r="E15" s="97" t="s">
        <v>140</v>
      </c>
    </row>
    <row r="16" spans="1:11" x14ac:dyDescent="0.2">
      <c r="A16" s="97" t="s">
        <v>206</v>
      </c>
      <c r="B16" s="97" t="s">
        <v>140</v>
      </c>
      <c r="C16" s="97" t="s">
        <v>140</v>
      </c>
      <c r="D16" s="97" t="s">
        <v>140</v>
      </c>
      <c r="E16" s="97" t="s">
        <v>140</v>
      </c>
    </row>
    <row r="17" spans="1:5" x14ac:dyDescent="0.2">
      <c r="A17" s="97" t="s">
        <v>207</v>
      </c>
      <c r="B17" s="101">
        <v>3660</v>
      </c>
      <c r="C17" s="101">
        <v>3892</v>
      </c>
      <c r="D17" s="97">
        <v>237</v>
      </c>
      <c r="E17" s="97">
        <v>528</v>
      </c>
    </row>
    <row r="18" spans="1:5" x14ac:dyDescent="0.2">
      <c r="A18" s="97" t="s">
        <v>208</v>
      </c>
      <c r="B18" s="97" t="s">
        <v>140</v>
      </c>
      <c r="C18" s="97">
        <v>73</v>
      </c>
      <c r="D18" s="97">
        <v>4</v>
      </c>
      <c r="E18" s="97" t="s">
        <v>140</v>
      </c>
    </row>
    <row r="19" spans="1:5" x14ac:dyDescent="0.2">
      <c r="A19" s="97" t="s">
        <v>209</v>
      </c>
      <c r="B19" s="101">
        <v>83107</v>
      </c>
      <c r="C19" s="101">
        <v>83871</v>
      </c>
      <c r="D19" s="101">
        <v>76193</v>
      </c>
      <c r="E19" s="101">
        <v>64287</v>
      </c>
    </row>
    <row r="20" spans="1:5" x14ac:dyDescent="0.2">
      <c r="A20" s="103" t="s">
        <v>126</v>
      </c>
      <c r="B20" s="104">
        <v>8254</v>
      </c>
      <c r="C20" s="104">
        <v>5027</v>
      </c>
      <c r="D20" s="104">
        <v>6529</v>
      </c>
      <c r="E20" s="104">
        <v>3131</v>
      </c>
    </row>
    <row r="21" spans="1:5" x14ac:dyDescent="0.2">
      <c r="A21" s="97" t="s">
        <v>210</v>
      </c>
      <c r="B21" s="101">
        <v>-2070</v>
      </c>
      <c r="C21" s="101">
        <v>-1973</v>
      </c>
      <c r="D21" s="101">
        <v>-1549</v>
      </c>
      <c r="E21" s="101">
        <v>-1546</v>
      </c>
    </row>
    <row r="22" spans="1:5" x14ac:dyDescent="0.2">
      <c r="A22" s="98" t="s">
        <v>211</v>
      </c>
      <c r="B22" s="102">
        <v>-2070</v>
      </c>
      <c r="C22" s="102">
        <v>-1973</v>
      </c>
      <c r="D22" s="102">
        <v>-1549</v>
      </c>
      <c r="E22" s="102">
        <v>-1546</v>
      </c>
    </row>
    <row r="23" spans="1:5" x14ac:dyDescent="0.2">
      <c r="A23" s="97" t="s">
        <v>212</v>
      </c>
      <c r="B23" s="97">
        <v>981</v>
      </c>
      <c r="C23" s="101">
        <v>1375</v>
      </c>
      <c r="D23" s="97">
        <v>243</v>
      </c>
      <c r="E23" s="97">
        <v>976</v>
      </c>
    </row>
    <row r="24" spans="1:5" x14ac:dyDescent="0.2">
      <c r="A24" s="98" t="s">
        <v>213</v>
      </c>
      <c r="B24" s="98">
        <v>406</v>
      </c>
      <c r="C24" s="98">
        <v>424</v>
      </c>
      <c r="D24" s="98">
        <v>90</v>
      </c>
      <c r="E24" s="98">
        <v>140</v>
      </c>
    </row>
    <row r="25" spans="1:5" x14ac:dyDescent="0.2">
      <c r="A25" s="97" t="s">
        <v>214</v>
      </c>
      <c r="B25" s="97" t="s">
        <v>140</v>
      </c>
      <c r="C25" s="97" t="s">
        <v>140</v>
      </c>
      <c r="D25" s="97" t="s">
        <v>140</v>
      </c>
      <c r="E25" s="97" t="s">
        <v>140</v>
      </c>
    </row>
    <row r="26" spans="1:5" x14ac:dyDescent="0.2">
      <c r="A26" s="97" t="s">
        <v>215</v>
      </c>
      <c r="B26" s="101">
        <v>-1089</v>
      </c>
      <c r="C26" s="97">
        <v>-598</v>
      </c>
      <c r="D26" s="101">
        <v>-1306</v>
      </c>
      <c r="E26" s="97">
        <v>-570</v>
      </c>
    </row>
    <row r="27" spans="1:5" x14ac:dyDescent="0.2">
      <c r="A27" s="97" t="s">
        <v>216</v>
      </c>
      <c r="B27" s="97" t="s">
        <v>140</v>
      </c>
      <c r="C27" s="97" t="s">
        <v>140</v>
      </c>
      <c r="D27" s="97" t="s">
        <v>140</v>
      </c>
      <c r="E27" s="97" t="s">
        <v>140</v>
      </c>
    </row>
    <row r="28" spans="1:5" x14ac:dyDescent="0.2">
      <c r="A28" s="97" t="s">
        <v>217</v>
      </c>
      <c r="B28" s="97">
        <v>404</v>
      </c>
      <c r="C28" s="97">
        <v>340</v>
      </c>
      <c r="D28" s="97">
        <v>62</v>
      </c>
      <c r="E28" s="97" t="s">
        <v>140</v>
      </c>
    </row>
    <row r="29" spans="1:5" x14ac:dyDescent="0.2">
      <c r="A29" s="98" t="s">
        <v>218</v>
      </c>
      <c r="B29" s="98">
        <v>404</v>
      </c>
      <c r="C29" s="98">
        <v>340</v>
      </c>
      <c r="D29" s="98">
        <v>62</v>
      </c>
      <c r="E29" s="98" t="s">
        <v>140</v>
      </c>
    </row>
    <row r="30" spans="1:5" x14ac:dyDescent="0.2">
      <c r="A30" s="97" t="s">
        <v>219</v>
      </c>
      <c r="B30" s="101">
        <v>7569</v>
      </c>
      <c r="C30" s="101">
        <v>4769</v>
      </c>
      <c r="D30" s="101">
        <v>5285</v>
      </c>
      <c r="E30" s="101">
        <v>2561</v>
      </c>
    </row>
    <row r="31" spans="1:5" x14ac:dyDescent="0.2">
      <c r="A31" s="97" t="s">
        <v>220</v>
      </c>
      <c r="B31" s="101">
        <v>1796</v>
      </c>
      <c r="C31" s="101">
        <v>1379</v>
      </c>
      <c r="D31" s="101">
        <v>1732</v>
      </c>
      <c r="E31" s="97">
        <v>25</v>
      </c>
    </row>
    <row r="32" spans="1:5" x14ac:dyDescent="0.2">
      <c r="A32" s="97" t="s">
        <v>221</v>
      </c>
      <c r="B32" s="101">
        <v>5773</v>
      </c>
      <c r="C32" s="101">
        <v>3390</v>
      </c>
      <c r="D32" s="101">
        <v>3553</v>
      </c>
      <c r="E32" s="101">
        <v>2536</v>
      </c>
    </row>
    <row r="33" spans="1:5" x14ac:dyDescent="0.2">
      <c r="A33" s="97" t="s">
        <v>177</v>
      </c>
      <c r="B33" s="97">
        <v>-801</v>
      </c>
      <c r="C33" s="101">
        <v>-1036</v>
      </c>
      <c r="D33" s="97">
        <v>-360</v>
      </c>
      <c r="E33" s="97">
        <v>-512</v>
      </c>
    </row>
    <row r="34" spans="1:5" x14ac:dyDescent="0.2">
      <c r="A34" s="97" t="s">
        <v>222</v>
      </c>
      <c r="B34" s="97" t="s">
        <v>140</v>
      </c>
      <c r="C34" s="97" t="s">
        <v>140</v>
      </c>
      <c r="D34" s="97" t="s">
        <v>140</v>
      </c>
      <c r="E34" s="97" t="s">
        <v>140</v>
      </c>
    </row>
    <row r="35" spans="1:5" x14ac:dyDescent="0.2">
      <c r="A35" s="97" t="s">
        <v>223</v>
      </c>
      <c r="B35" s="97" t="s">
        <v>140</v>
      </c>
      <c r="C35" s="97" t="s">
        <v>140</v>
      </c>
      <c r="D35" s="97" t="s">
        <v>140</v>
      </c>
      <c r="E35" s="97" t="s">
        <v>140</v>
      </c>
    </row>
    <row r="36" spans="1:5" x14ac:dyDescent="0.2">
      <c r="A36" s="103" t="s">
        <v>224</v>
      </c>
      <c r="B36" s="104">
        <v>4972</v>
      </c>
      <c r="C36" s="104">
        <v>2354</v>
      </c>
      <c r="D36" s="104">
        <v>3193</v>
      </c>
      <c r="E36" s="104">
        <v>2024</v>
      </c>
    </row>
    <row r="37" spans="1:5" x14ac:dyDescent="0.2">
      <c r="A37" s="97" t="s">
        <v>225</v>
      </c>
      <c r="B37" s="97" t="s">
        <v>140</v>
      </c>
      <c r="C37" s="97" t="s">
        <v>140</v>
      </c>
      <c r="D37" s="97" t="s">
        <v>140</v>
      </c>
      <c r="E37" s="97" t="s">
        <v>140</v>
      </c>
    </row>
    <row r="38" spans="1:5" x14ac:dyDescent="0.2">
      <c r="A38" s="97" t="s">
        <v>226</v>
      </c>
      <c r="B38" s="97">
        <v>0</v>
      </c>
      <c r="C38" s="97">
        <v>0</v>
      </c>
      <c r="D38" s="97">
        <v>-62</v>
      </c>
      <c r="E38" s="97">
        <v>-38</v>
      </c>
    </row>
    <row r="39" spans="1:5" x14ac:dyDescent="0.2">
      <c r="A39" s="97" t="s">
        <v>227</v>
      </c>
      <c r="B39" s="97" t="s">
        <v>140</v>
      </c>
      <c r="C39" s="97" t="s">
        <v>140</v>
      </c>
      <c r="D39" s="97" t="s">
        <v>140</v>
      </c>
      <c r="E39" s="97" t="s">
        <v>140</v>
      </c>
    </row>
    <row r="40" spans="1:5" x14ac:dyDescent="0.2">
      <c r="A40" s="97" t="s">
        <v>228</v>
      </c>
      <c r="B40" s="97" t="s">
        <v>140</v>
      </c>
      <c r="C40" s="97" t="s">
        <v>140</v>
      </c>
      <c r="D40" s="97">
        <v>14</v>
      </c>
      <c r="E40" s="97">
        <v>9</v>
      </c>
    </row>
    <row r="41" spans="1:5" x14ac:dyDescent="0.2">
      <c r="A41" s="97" t="s">
        <v>229</v>
      </c>
      <c r="B41" s="97">
        <v>0</v>
      </c>
      <c r="C41" s="97">
        <v>0</v>
      </c>
      <c r="D41" s="97">
        <v>-48</v>
      </c>
      <c r="E41" s="97">
        <v>-29</v>
      </c>
    </row>
    <row r="42" spans="1:5" x14ac:dyDescent="0.2">
      <c r="A42" s="103" t="s">
        <v>13</v>
      </c>
      <c r="B42" s="104">
        <v>4972</v>
      </c>
      <c r="C42" s="104">
        <v>2354</v>
      </c>
      <c r="D42" s="104">
        <v>3145</v>
      </c>
      <c r="E42" s="104">
        <v>1995</v>
      </c>
    </row>
    <row r="43" spans="1:5" x14ac:dyDescent="0.2">
      <c r="A43" s="97" t="s">
        <v>230</v>
      </c>
      <c r="B43" s="97" t="s">
        <v>140</v>
      </c>
      <c r="C43" s="97" t="s">
        <v>140</v>
      </c>
      <c r="D43" s="97" t="s">
        <v>140</v>
      </c>
      <c r="E43" s="97" t="s">
        <v>140</v>
      </c>
    </row>
    <row r="44" spans="1:5" x14ac:dyDescent="0.2">
      <c r="A44" s="97" t="s">
        <v>231</v>
      </c>
      <c r="B44" s="97" t="s">
        <v>140</v>
      </c>
      <c r="C44" s="97" t="s">
        <v>140</v>
      </c>
      <c r="D44" s="97" t="s">
        <v>140</v>
      </c>
      <c r="E44" s="97" t="s">
        <v>140</v>
      </c>
    </row>
    <row r="45" spans="1:5" x14ac:dyDescent="0.2">
      <c r="A45" s="97" t="s">
        <v>232</v>
      </c>
      <c r="B45" s="97" t="s">
        <v>140</v>
      </c>
      <c r="C45" s="97" t="s">
        <v>140</v>
      </c>
      <c r="D45" s="97" t="s">
        <v>140</v>
      </c>
      <c r="E45" s="97" t="s">
        <v>140</v>
      </c>
    </row>
    <row r="46" spans="1:5" x14ac:dyDescent="0.2">
      <c r="A46" s="97" t="s">
        <v>233</v>
      </c>
      <c r="B46" s="97" t="s">
        <v>140</v>
      </c>
      <c r="C46" s="97" t="s">
        <v>140</v>
      </c>
      <c r="D46" s="97" t="s">
        <v>140</v>
      </c>
      <c r="E46" s="97" t="s">
        <v>140</v>
      </c>
    </row>
    <row r="47" spans="1:5" x14ac:dyDescent="0.2">
      <c r="A47" s="97" t="s">
        <v>234</v>
      </c>
      <c r="B47" s="97" t="s">
        <v>140</v>
      </c>
      <c r="C47" s="97" t="s">
        <v>140</v>
      </c>
      <c r="D47" s="97" t="s">
        <v>140</v>
      </c>
      <c r="E47" s="97" t="s">
        <v>140</v>
      </c>
    </row>
    <row r="48" spans="1:5" x14ac:dyDescent="0.2">
      <c r="A48" s="97" t="s">
        <v>235</v>
      </c>
      <c r="B48" s="97" t="s">
        <v>140</v>
      </c>
      <c r="C48" s="97" t="s">
        <v>140</v>
      </c>
      <c r="D48" s="97" t="s">
        <v>140</v>
      </c>
      <c r="E48" s="97" t="s">
        <v>140</v>
      </c>
    </row>
    <row r="49" spans="1:5" x14ac:dyDescent="0.2">
      <c r="A49" s="97" t="s">
        <v>236</v>
      </c>
      <c r="B49" s="101">
        <v>4972</v>
      </c>
      <c r="C49" s="101">
        <v>2354</v>
      </c>
      <c r="D49" s="101">
        <v>3193</v>
      </c>
      <c r="E49" s="101">
        <v>2024</v>
      </c>
    </row>
    <row r="50" spans="1:5" x14ac:dyDescent="0.2">
      <c r="A50" s="97" t="s">
        <v>237</v>
      </c>
      <c r="B50" s="101">
        <v>4972</v>
      </c>
      <c r="C50" s="101">
        <v>2354</v>
      </c>
      <c r="D50" s="101">
        <v>3145</v>
      </c>
      <c r="E50" s="101">
        <v>1995</v>
      </c>
    </row>
    <row r="51" spans="1:5" x14ac:dyDescent="0.2">
      <c r="A51" s="97" t="s">
        <v>238</v>
      </c>
      <c r="B51" s="101">
        <v>1825</v>
      </c>
      <c r="C51" s="101">
        <v>1828</v>
      </c>
      <c r="D51" s="101">
        <v>1822</v>
      </c>
      <c r="E51" s="101">
        <v>1816</v>
      </c>
    </row>
    <row r="52" spans="1:5" x14ac:dyDescent="0.2">
      <c r="A52" s="97" t="s">
        <v>239</v>
      </c>
      <c r="B52" s="97">
        <v>2.72</v>
      </c>
      <c r="C52" s="97">
        <v>1.29</v>
      </c>
      <c r="D52" s="97">
        <v>1.75</v>
      </c>
      <c r="E52" s="97">
        <v>1.1100000000000001</v>
      </c>
    </row>
    <row r="53" spans="1:5" x14ac:dyDescent="0.2">
      <c r="A53" s="97" t="s">
        <v>240</v>
      </c>
      <c r="B53" s="97">
        <v>2.72</v>
      </c>
      <c r="C53" s="97">
        <v>1.29</v>
      </c>
      <c r="D53" s="97">
        <v>1.73</v>
      </c>
      <c r="E53" s="97">
        <v>1.1000000000000001</v>
      </c>
    </row>
    <row r="54" spans="1:5" x14ac:dyDescent="0.2">
      <c r="A54" s="97" t="s">
        <v>241</v>
      </c>
      <c r="B54" s="97" t="s">
        <v>140</v>
      </c>
      <c r="C54" s="97" t="s">
        <v>140</v>
      </c>
      <c r="D54" s="97" t="s">
        <v>140</v>
      </c>
      <c r="E54" s="97" t="s">
        <v>140</v>
      </c>
    </row>
    <row r="55" spans="1:5" x14ac:dyDescent="0.2">
      <c r="A55" s="97" t="s">
        <v>242</v>
      </c>
      <c r="B55" s="101">
        <v>4972</v>
      </c>
      <c r="C55" s="101">
        <v>2354</v>
      </c>
      <c r="D55" s="101">
        <v>3145</v>
      </c>
      <c r="E55" s="101">
        <v>1995</v>
      </c>
    </row>
    <row r="56" spans="1:5" x14ac:dyDescent="0.2">
      <c r="A56" s="97" t="s">
        <v>243</v>
      </c>
      <c r="B56" s="101">
        <v>1831</v>
      </c>
      <c r="C56" s="101">
        <v>1830</v>
      </c>
      <c r="D56" s="101">
        <v>1827</v>
      </c>
      <c r="E56" s="101">
        <v>1828</v>
      </c>
    </row>
    <row r="57" spans="1:5" x14ac:dyDescent="0.2">
      <c r="A57" s="97" t="s">
        <v>244</v>
      </c>
      <c r="B57" s="97">
        <v>2.72</v>
      </c>
      <c r="C57" s="97">
        <v>1.29</v>
      </c>
      <c r="D57" s="97">
        <v>1.75</v>
      </c>
      <c r="E57" s="97">
        <v>1.1100000000000001</v>
      </c>
    </row>
    <row r="58" spans="1:5" x14ac:dyDescent="0.2">
      <c r="A58" s="97" t="s">
        <v>245</v>
      </c>
      <c r="B58" s="97">
        <v>2.72</v>
      </c>
      <c r="C58" s="97">
        <v>1.29</v>
      </c>
      <c r="D58" s="97">
        <v>1.72</v>
      </c>
      <c r="E58" s="97">
        <v>1.0900000000000001</v>
      </c>
    </row>
  </sheetData>
  <sheetProtection sheet="1" objects="1" scenarios="1" selectLockedCells="1" selectUn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541E-3607-AF4E-9DE7-FE16BBC3FFE9}">
  <sheetPr>
    <tabColor theme="7" tint="0.59999389629810485"/>
  </sheetPr>
  <dimension ref="A1:E69"/>
  <sheetViews>
    <sheetView showGridLines="0" topLeftCell="A37" workbookViewId="0">
      <selection activeCell="E3" sqref="E3"/>
    </sheetView>
  </sheetViews>
  <sheetFormatPr baseColWidth="10" defaultRowHeight="16" x14ac:dyDescent="0.2"/>
  <cols>
    <col min="1" max="1" width="49" customWidth="1"/>
    <col min="2" max="2" width="23.1640625" customWidth="1"/>
    <col min="3" max="3" width="23.33203125" customWidth="1"/>
    <col min="4" max="4" width="21.33203125" customWidth="1"/>
    <col min="5" max="5" width="22.5" customWidth="1"/>
  </cols>
  <sheetData>
    <row r="1" spans="1:5" ht="21" x14ac:dyDescent="0.25">
      <c r="A1" s="96" t="s">
        <v>132</v>
      </c>
    </row>
    <row r="2" spans="1:5" x14ac:dyDescent="0.2">
      <c r="A2" s="97"/>
      <c r="B2" s="105">
        <v>45563</v>
      </c>
      <c r="C2" s="105">
        <v>45199</v>
      </c>
      <c r="D2" s="105">
        <v>44835</v>
      </c>
      <c r="E2" s="105">
        <v>44471</v>
      </c>
    </row>
    <row r="3" spans="1:5" x14ac:dyDescent="0.2">
      <c r="A3" s="99" t="s">
        <v>137</v>
      </c>
    </row>
    <row r="4" spans="1:5" x14ac:dyDescent="0.2">
      <c r="A4" s="97" t="s">
        <v>138</v>
      </c>
      <c r="B4" s="101">
        <v>6002</v>
      </c>
      <c r="C4" s="101">
        <v>14182</v>
      </c>
      <c r="D4" s="101">
        <v>11615</v>
      </c>
      <c r="E4" s="101">
        <v>15959</v>
      </c>
    </row>
    <row r="5" spans="1:5" x14ac:dyDescent="0.2">
      <c r="A5" s="98" t="s">
        <v>139</v>
      </c>
      <c r="B5" s="98" t="s">
        <v>140</v>
      </c>
      <c r="C5" s="98" t="s">
        <v>140</v>
      </c>
      <c r="D5" s="98" t="s">
        <v>140</v>
      </c>
      <c r="E5" s="98" t="s">
        <v>140</v>
      </c>
    </row>
    <row r="6" spans="1:5" x14ac:dyDescent="0.2">
      <c r="A6" s="98" t="s">
        <v>141</v>
      </c>
      <c r="B6" s="102">
        <v>6002</v>
      </c>
      <c r="C6" s="102">
        <v>14182</v>
      </c>
      <c r="D6" s="102">
        <v>11615</v>
      </c>
      <c r="E6" s="102">
        <v>15959</v>
      </c>
    </row>
    <row r="7" spans="1:5" x14ac:dyDescent="0.2">
      <c r="A7" s="98" t="s">
        <v>142</v>
      </c>
      <c r="B7" s="98" t="s">
        <v>140</v>
      </c>
      <c r="C7" s="98" t="s">
        <v>140</v>
      </c>
      <c r="D7" s="98" t="s">
        <v>140</v>
      </c>
      <c r="E7" s="98" t="s">
        <v>140</v>
      </c>
    </row>
    <row r="8" spans="1:5" x14ac:dyDescent="0.2">
      <c r="A8" s="97" t="s">
        <v>143</v>
      </c>
      <c r="B8" s="101">
        <v>10258</v>
      </c>
      <c r="C8" s="101">
        <v>10064</v>
      </c>
      <c r="D8" s="101">
        <v>10653</v>
      </c>
      <c r="E8" s="101">
        <v>11007</v>
      </c>
    </row>
    <row r="9" spans="1:5" x14ac:dyDescent="0.2">
      <c r="A9" s="98" t="s">
        <v>144</v>
      </c>
      <c r="B9" s="102">
        <v>10341</v>
      </c>
      <c r="C9" s="102">
        <v>10179</v>
      </c>
      <c r="D9" s="102">
        <v>10811</v>
      </c>
      <c r="E9" s="102">
        <v>11177</v>
      </c>
    </row>
    <row r="10" spans="1:5" x14ac:dyDescent="0.2">
      <c r="A10" s="97" t="s">
        <v>145</v>
      </c>
      <c r="B10" s="101">
        <v>12729</v>
      </c>
      <c r="C10" s="101">
        <v>12330</v>
      </c>
      <c r="D10" s="101">
        <v>12652</v>
      </c>
      <c r="E10" s="101">
        <v>13367</v>
      </c>
    </row>
    <row r="11" spans="1:5" x14ac:dyDescent="0.2">
      <c r="A11" s="98" t="s">
        <v>146</v>
      </c>
      <c r="B11" s="102">
        <v>2471</v>
      </c>
      <c r="C11" s="102">
        <v>2266</v>
      </c>
      <c r="D11" s="102">
        <v>1999</v>
      </c>
      <c r="E11" s="102">
        <v>2360</v>
      </c>
    </row>
    <row r="12" spans="1:5" x14ac:dyDescent="0.2">
      <c r="A12" s="97" t="s">
        <v>147</v>
      </c>
      <c r="B12" s="101">
        <v>2022</v>
      </c>
      <c r="C12" s="101">
        <v>1963</v>
      </c>
      <c r="D12" s="101">
        <v>1742</v>
      </c>
      <c r="E12" s="101">
        <v>1331</v>
      </c>
    </row>
    <row r="13" spans="1:5" x14ac:dyDescent="0.2">
      <c r="A13" s="98" t="s">
        <v>148</v>
      </c>
      <c r="B13" s="98" t="s">
        <v>140</v>
      </c>
      <c r="C13" s="98" t="s">
        <v>140</v>
      </c>
      <c r="D13" s="98" t="s">
        <v>140</v>
      </c>
      <c r="E13" s="98" t="s">
        <v>140</v>
      </c>
    </row>
    <row r="14" spans="1:5" x14ac:dyDescent="0.2">
      <c r="A14" s="98" t="s">
        <v>149</v>
      </c>
      <c r="B14" s="98" t="s">
        <v>140</v>
      </c>
      <c r="C14" s="98" t="s">
        <v>140</v>
      </c>
      <c r="D14" s="98" t="s">
        <v>140</v>
      </c>
      <c r="E14" s="98" t="s">
        <v>140</v>
      </c>
    </row>
    <row r="15" spans="1:5" x14ac:dyDescent="0.2">
      <c r="A15" s="97" t="s">
        <v>18</v>
      </c>
      <c r="B15" s="97" t="s">
        <v>140</v>
      </c>
      <c r="C15" s="97" t="s">
        <v>140</v>
      </c>
      <c r="D15" s="97" t="s">
        <v>140</v>
      </c>
      <c r="E15" s="97" t="s">
        <v>140</v>
      </c>
    </row>
    <row r="16" spans="1:5" x14ac:dyDescent="0.2">
      <c r="A16" s="97" t="s">
        <v>150</v>
      </c>
      <c r="B16" s="101">
        <v>4488</v>
      </c>
      <c r="C16" s="101">
        <v>4288</v>
      </c>
      <c r="D16" s="101">
        <v>3089</v>
      </c>
      <c r="E16" s="101">
        <v>3000</v>
      </c>
    </row>
    <row r="17" spans="1:5" x14ac:dyDescent="0.2">
      <c r="A17" s="98" t="s">
        <v>151</v>
      </c>
      <c r="B17" s="98">
        <v>0</v>
      </c>
      <c r="C17" s="98">
        <v>0</v>
      </c>
      <c r="D17" s="98">
        <v>3</v>
      </c>
      <c r="E17" s="98">
        <v>3</v>
      </c>
    </row>
    <row r="18" spans="1:5" x14ac:dyDescent="0.2">
      <c r="A18" s="98" t="s">
        <v>127</v>
      </c>
      <c r="B18" s="102">
        <v>4488</v>
      </c>
      <c r="C18" s="102">
        <v>4288</v>
      </c>
      <c r="D18" s="102">
        <v>3086</v>
      </c>
      <c r="E18" s="102">
        <v>2997</v>
      </c>
    </row>
    <row r="19" spans="1:5" x14ac:dyDescent="0.2">
      <c r="A19" s="103" t="s">
        <v>19</v>
      </c>
      <c r="B19" s="104">
        <v>25241</v>
      </c>
      <c r="C19" s="104">
        <v>32763</v>
      </c>
      <c r="D19" s="104">
        <v>29098</v>
      </c>
      <c r="E19" s="104">
        <v>33657</v>
      </c>
    </row>
    <row r="20" spans="1:5" x14ac:dyDescent="0.2">
      <c r="A20" s="97" t="s">
        <v>152</v>
      </c>
      <c r="B20" s="101">
        <v>86169</v>
      </c>
      <c r="C20" s="101">
        <v>82053</v>
      </c>
      <c r="D20" s="101">
        <v>77221</v>
      </c>
      <c r="E20" s="101">
        <v>74775</v>
      </c>
    </row>
    <row r="21" spans="1:5" x14ac:dyDescent="0.2">
      <c r="A21" s="98" t="s">
        <v>153</v>
      </c>
      <c r="B21" s="102">
        <v>40328</v>
      </c>
      <c r="C21" s="102">
        <v>36313</v>
      </c>
      <c r="D21" s="102">
        <v>34832</v>
      </c>
      <c r="E21" s="102">
        <v>33823</v>
      </c>
    </row>
    <row r="22" spans="1:5" x14ac:dyDescent="0.2">
      <c r="A22" s="98" t="s">
        <v>154</v>
      </c>
      <c r="B22" s="102">
        <v>9212</v>
      </c>
      <c r="C22" s="102">
        <v>8595</v>
      </c>
      <c r="D22" s="102">
        <v>8897</v>
      </c>
      <c r="E22" s="102">
        <v>8192</v>
      </c>
    </row>
    <row r="23" spans="1:5" x14ac:dyDescent="0.2">
      <c r="A23" s="98" t="s">
        <v>155</v>
      </c>
      <c r="B23" s="98" t="s">
        <v>140</v>
      </c>
      <c r="C23" s="98" t="s">
        <v>140</v>
      </c>
      <c r="D23" s="98" t="s">
        <v>140</v>
      </c>
      <c r="E23" s="98" t="s">
        <v>140</v>
      </c>
    </row>
    <row r="24" spans="1:5" x14ac:dyDescent="0.2">
      <c r="A24" s="98" t="s">
        <v>156</v>
      </c>
      <c r="B24" s="102">
        <v>31901</v>
      </c>
      <c r="C24" s="102">
        <v>30860</v>
      </c>
      <c r="D24" s="102">
        <v>28678</v>
      </c>
      <c r="E24" s="102">
        <v>28239</v>
      </c>
    </row>
    <row r="25" spans="1:5" x14ac:dyDescent="0.2">
      <c r="A25" s="97" t="s">
        <v>157</v>
      </c>
      <c r="B25" s="101">
        <v>40663</v>
      </c>
      <c r="C25" s="101">
        <v>39443</v>
      </c>
      <c r="D25" s="101">
        <v>37865</v>
      </c>
      <c r="E25" s="101">
        <v>36855</v>
      </c>
    </row>
    <row r="26" spans="1:5" x14ac:dyDescent="0.2">
      <c r="A26" s="98" t="s">
        <v>158</v>
      </c>
      <c r="B26" s="102">
        <v>-45506</v>
      </c>
      <c r="C26" s="102">
        <v>-42610</v>
      </c>
      <c r="D26" s="102">
        <v>-39356</v>
      </c>
      <c r="E26" s="102">
        <v>-37920</v>
      </c>
    </row>
    <row r="27" spans="1:5" x14ac:dyDescent="0.2">
      <c r="A27" s="97" t="s">
        <v>159</v>
      </c>
      <c r="B27" s="101">
        <v>73326</v>
      </c>
      <c r="C27" s="101">
        <v>77067</v>
      </c>
      <c r="D27" s="101">
        <v>77897</v>
      </c>
      <c r="E27" s="101">
        <v>78071</v>
      </c>
    </row>
    <row r="28" spans="1:5" x14ac:dyDescent="0.2">
      <c r="A28" s="97" t="s">
        <v>160</v>
      </c>
      <c r="B28" s="101">
        <v>43051</v>
      </c>
      <c r="C28" s="101">
        <v>46652</v>
      </c>
      <c r="D28" s="101">
        <v>50614</v>
      </c>
      <c r="E28" s="101">
        <v>46664</v>
      </c>
    </row>
    <row r="29" spans="1:5" x14ac:dyDescent="0.2">
      <c r="A29" s="97" t="s">
        <v>161</v>
      </c>
      <c r="B29" s="101">
        <v>4459</v>
      </c>
      <c r="C29" s="101">
        <v>3080</v>
      </c>
      <c r="D29" s="101">
        <v>3218</v>
      </c>
      <c r="E29" s="101">
        <v>3935</v>
      </c>
    </row>
    <row r="30" spans="1:5" x14ac:dyDescent="0.2">
      <c r="A30" s="98" t="s">
        <v>162</v>
      </c>
      <c r="B30" s="102">
        <v>1779</v>
      </c>
      <c r="C30" s="98">
        <v>392</v>
      </c>
      <c r="D30" s="98">
        <v>540</v>
      </c>
      <c r="E30" s="102">
        <v>1297</v>
      </c>
    </row>
    <row r="31" spans="1:5" x14ac:dyDescent="0.2">
      <c r="A31" s="97" t="s">
        <v>163</v>
      </c>
      <c r="B31" s="97" t="s">
        <v>140</v>
      </c>
      <c r="C31" s="97" t="s">
        <v>140</v>
      </c>
      <c r="D31" s="97" t="s">
        <v>140</v>
      </c>
      <c r="E31" s="97" t="s">
        <v>140</v>
      </c>
    </row>
    <row r="32" spans="1:5" x14ac:dyDescent="0.2">
      <c r="A32" s="97" t="s">
        <v>164</v>
      </c>
      <c r="B32" s="101">
        <v>9479</v>
      </c>
      <c r="C32" s="101">
        <v>6574</v>
      </c>
      <c r="D32" s="101">
        <v>4939</v>
      </c>
      <c r="E32" s="101">
        <v>4427</v>
      </c>
    </row>
    <row r="33" spans="1:5" x14ac:dyDescent="0.2">
      <c r="A33" s="98" t="s">
        <v>165</v>
      </c>
      <c r="B33" s="98">
        <v>100</v>
      </c>
      <c r="C33" s="98">
        <v>53</v>
      </c>
      <c r="D33" s="98">
        <v>43</v>
      </c>
      <c r="E33" s="98">
        <v>41</v>
      </c>
    </row>
    <row r="34" spans="1:5" x14ac:dyDescent="0.2">
      <c r="A34" s="98" t="s">
        <v>166</v>
      </c>
      <c r="B34" s="102">
        <v>9379</v>
      </c>
      <c r="C34" s="102">
        <v>6521</v>
      </c>
      <c r="D34" s="102">
        <v>4896</v>
      </c>
      <c r="E34" s="102">
        <v>4386</v>
      </c>
    </row>
    <row r="35" spans="1:5" x14ac:dyDescent="0.2">
      <c r="A35" s="103" t="s">
        <v>26</v>
      </c>
      <c r="B35" s="104">
        <v>196219</v>
      </c>
      <c r="C35" s="104">
        <v>205579</v>
      </c>
      <c r="D35" s="104">
        <v>203631</v>
      </c>
      <c r="E35" s="104">
        <v>203609</v>
      </c>
    </row>
    <row r="36" spans="1:5" x14ac:dyDescent="0.2">
      <c r="A36" s="99" t="s">
        <v>167</v>
      </c>
    </row>
    <row r="37" spans="1:5" x14ac:dyDescent="0.2">
      <c r="A37" s="97" t="s">
        <v>27</v>
      </c>
      <c r="B37" s="97" t="s">
        <v>140</v>
      </c>
      <c r="C37" s="97" t="s">
        <v>140</v>
      </c>
      <c r="D37" s="97" t="s">
        <v>140</v>
      </c>
      <c r="E37" s="97" t="s">
        <v>140</v>
      </c>
    </row>
    <row r="38" spans="1:5" x14ac:dyDescent="0.2">
      <c r="A38" s="97" t="s">
        <v>168</v>
      </c>
      <c r="B38" s="101">
        <v>14022</v>
      </c>
      <c r="C38" s="101">
        <v>14348</v>
      </c>
      <c r="D38" s="101">
        <v>15554</v>
      </c>
      <c r="E38" s="101">
        <v>16357</v>
      </c>
    </row>
    <row r="39" spans="1:5" x14ac:dyDescent="0.2">
      <c r="A39" s="97" t="s">
        <v>28</v>
      </c>
      <c r="B39" s="101">
        <v>4416</v>
      </c>
      <c r="C39" s="101">
        <v>3801</v>
      </c>
      <c r="D39" s="101">
        <v>4061</v>
      </c>
      <c r="E39" s="101">
        <v>4119</v>
      </c>
    </row>
    <row r="40" spans="1:5" x14ac:dyDescent="0.2">
      <c r="A40" s="97" t="s">
        <v>169</v>
      </c>
      <c r="B40" s="97">
        <v>0</v>
      </c>
      <c r="C40" s="97">
        <v>0</v>
      </c>
      <c r="D40" s="97">
        <v>0</v>
      </c>
      <c r="E40" s="97">
        <v>0</v>
      </c>
    </row>
    <row r="41" spans="1:5" x14ac:dyDescent="0.2">
      <c r="A41" s="97" t="s">
        <v>170</v>
      </c>
      <c r="B41" s="101">
        <v>6875</v>
      </c>
      <c r="C41" s="101">
        <v>4367</v>
      </c>
      <c r="D41" s="101">
        <v>3107</v>
      </c>
      <c r="E41" s="101">
        <v>5907</v>
      </c>
    </row>
    <row r="42" spans="1:5" x14ac:dyDescent="0.2">
      <c r="A42" s="97" t="s">
        <v>171</v>
      </c>
      <c r="B42" s="101">
        <v>9286</v>
      </c>
      <c r="C42" s="101">
        <v>8623</v>
      </c>
      <c r="D42" s="101">
        <v>6351</v>
      </c>
      <c r="E42" s="101">
        <v>4694</v>
      </c>
    </row>
    <row r="43" spans="1:5" x14ac:dyDescent="0.2">
      <c r="A43" s="98" t="s">
        <v>172</v>
      </c>
      <c r="B43" s="102">
        <v>6684</v>
      </c>
      <c r="C43" s="102">
        <v>6138</v>
      </c>
      <c r="D43" s="102">
        <v>5790</v>
      </c>
      <c r="E43" s="102">
        <v>4317</v>
      </c>
    </row>
    <row r="44" spans="1:5" x14ac:dyDescent="0.2">
      <c r="A44" s="98" t="s">
        <v>29</v>
      </c>
      <c r="B44" s="98">
        <v>129</v>
      </c>
      <c r="C44" s="98">
        <v>209</v>
      </c>
      <c r="D44" s="98">
        <v>561</v>
      </c>
      <c r="E44" s="98">
        <v>377</v>
      </c>
    </row>
    <row r="45" spans="1:5" x14ac:dyDescent="0.2">
      <c r="A45" s="103" t="s">
        <v>30</v>
      </c>
      <c r="B45" s="104">
        <v>34599</v>
      </c>
      <c r="C45" s="104">
        <v>31139</v>
      </c>
      <c r="D45" s="104">
        <v>29073</v>
      </c>
      <c r="E45" s="104">
        <v>31077</v>
      </c>
    </row>
    <row r="46" spans="1:5" x14ac:dyDescent="0.2">
      <c r="A46" s="97" t="s">
        <v>173</v>
      </c>
      <c r="B46" s="101">
        <v>39130</v>
      </c>
      <c r="C46" s="101">
        <v>42307</v>
      </c>
      <c r="D46" s="101">
        <v>45518</v>
      </c>
      <c r="E46" s="101">
        <v>48786</v>
      </c>
    </row>
    <row r="47" spans="1:5" x14ac:dyDescent="0.2">
      <c r="A47" s="98" t="s">
        <v>128</v>
      </c>
      <c r="B47" s="102">
        <v>38970</v>
      </c>
      <c r="C47" s="102">
        <v>42101</v>
      </c>
      <c r="D47" s="102">
        <v>45299</v>
      </c>
      <c r="E47" s="102">
        <v>48540</v>
      </c>
    </row>
    <row r="48" spans="1:5" x14ac:dyDescent="0.2">
      <c r="A48" s="98" t="s">
        <v>174</v>
      </c>
      <c r="B48" s="98">
        <v>160</v>
      </c>
      <c r="C48" s="98">
        <v>206</v>
      </c>
      <c r="D48" s="98">
        <v>219</v>
      </c>
      <c r="E48" s="98">
        <v>246</v>
      </c>
    </row>
    <row r="49" spans="1:5" x14ac:dyDescent="0.2">
      <c r="A49" s="97" t="s">
        <v>175</v>
      </c>
      <c r="B49" s="101">
        <v>46005</v>
      </c>
      <c r="C49" s="101">
        <v>46674</v>
      </c>
      <c r="D49" s="101">
        <v>48625</v>
      </c>
      <c r="E49" s="101">
        <v>54693</v>
      </c>
    </row>
    <row r="50" spans="1:5" x14ac:dyDescent="0.2">
      <c r="A50" s="97" t="s">
        <v>176</v>
      </c>
      <c r="B50" s="101">
        <v>6277</v>
      </c>
      <c r="C50" s="101">
        <v>7258</v>
      </c>
      <c r="D50" s="101">
        <v>8363</v>
      </c>
      <c r="E50" s="101">
        <v>7246</v>
      </c>
    </row>
    <row r="51" spans="1:5" x14ac:dyDescent="0.2">
      <c r="A51" s="97" t="s">
        <v>177</v>
      </c>
      <c r="B51" s="101">
        <v>4826</v>
      </c>
      <c r="C51" s="101">
        <v>13735</v>
      </c>
      <c r="D51" s="101">
        <v>13370</v>
      </c>
      <c r="E51" s="101">
        <v>13671</v>
      </c>
    </row>
    <row r="52" spans="1:5" x14ac:dyDescent="0.2">
      <c r="A52" s="97" t="s">
        <v>178</v>
      </c>
      <c r="B52" s="101">
        <v>10691</v>
      </c>
      <c r="C52" s="101">
        <v>11863</v>
      </c>
      <c r="D52" s="101">
        <v>12299</v>
      </c>
      <c r="E52" s="101">
        <v>14276</v>
      </c>
    </row>
    <row r="53" spans="1:5" x14ac:dyDescent="0.2">
      <c r="A53" s="98" t="s">
        <v>179</v>
      </c>
      <c r="B53" s="102">
        <v>10691</v>
      </c>
      <c r="C53" s="102">
        <v>11863</v>
      </c>
      <c r="D53" s="102">
        <v>10359</v>
      </c>
      <c r="E53" s="102">
        <v>10144</v>
      </c>
    </row>
    <row r="54" spans="1:5" x14ac:dyDescent="0.2">
      <c r="A54" s="103" t="s">
        <v>129</v>
      </c>
      <c r="B54" s="104">
        <v>95523</v>
      </c>
      <c r="C54" s="104">
        <v>106302</v>
      </c>
      <c r="D54" s="104">
        <v>108623</v>
      </c>
      <c r="E54" s="104">
        <v>115056</v>
      </c>
    </row>
    <row r="55" spans="1:5" x14ac:dyDescent="0.2">
      <c r="A55" s="99" t="s">
        <v>180</v>
      </c>
    </row>
    <row r="56" spans="1:5" x14ac:dyDescent="0.2">
      <c r="A56" s="97" t="s">
        <v>181</v>
      </c>
      <c r="B56" s="97" t="s">
        <v>140</v>
      </c>
      <c r="C56" s="97" t="s">
        <v>140</v>
      </c>
      <c r="D56" s="97" t="s">
        <v>140</v>
      </c>
      <c r="E56" s="97" t="s">
        <v>140</v>
      </c>
    </row>
    <row r="57" spans="1:5" x14ac:dyDescent="0.2">
      <c r="A57" s="97" t="s">
        <v>182</v>
      </c>
      <c r="B57" s="97" t="s">
        <v>140</v>
      </c>
      <c r="C57" s="97">
        <v>0</v>
      </c>
      <c r="D57" s="97">
        <v>0</v>
      </c>
      <c r="E57" s="97">
        <v>0</v>
      </c>
    </row>
    <row r="58" spans="1:5" x14ac:dyDescent="0.2">
      <c r="A58" s="97" t="s">
        <v>183</v>
      </c>
      <c r="B58" s="97">
        <v>58592</v>
      </c>
      <c r="C58" s="97">
        <v>57383</v>
      </c>
      <c r="D58" s="97">
        <v>56398</v>
      </c>
      <c r="E58" s="97">
        <v>55471</v>
      </c>
    </row>
    <row r="59" spans="1:5" x14ac:dyDescent="0.2">
      <c r="A59" s="98" t="s">
        <v>184</v>
      </c>
      <c r="B59" s="98">
        <v>58592</v>
      </c>
      <c r="C59" s="98">
        <v>57383</v>
      </c>
      <c r="D59" s="98">
        <v>56398</v>
      </c>
      <c r="E59" s="98">
        <v>55471</v>
      </c>
    </row>
    <row r="60" spans="1:5" x14ac:dyDescent="0.2">
      <c r="A60" s="97" t="s">
        <v>185</v>
      </c>
      <c r="B60" s="97" t="s">
        <v>140</v>
      </c>
      <c r="C60" s="97" t="s">
        <v>140</v>
      </c>
      <c r="D60" s="97" t="s">
        <v>140</v>
      </c>
      <c r="E60" s="97" t="s">
        <v>140</v>
      </c>
    </row>
    <row r="61" spans="1:5" x14ac:dyDescent="0.2">
      <c r="A61" s="97" t="s">
        <v>130</v>
      </c>
      <c r="B61" s="101">
        <v>49722</v>
      </c>
      <c r="C61" s="101">
        <v>46093</v>
      </c>
      <c r="D61" s="101">
        <v>43636</v>
      </c>
      <c r="E61" s="101">
        <v>40429</v>
      </c>
    </row>
    <row r="62" spans="1:5" x14ac:dyDescent="0.2">
      <c r="A62" s="97" t="s">
        <v>186</v>
      </c>
      <c r="B62" s="101">
        <v>-3919</v>
      </c>
      <c r="C62" s="97">
        <v>-907</v>
      </c>
      <c r="D62" s="97">
        <v>-907</v>
      </c>
      <c r="E62" s="97">
        <v>-907</v>
      </c>
    </row>
    <row r="63" spans="1:5" x14ac:dyDescent="0.2">
      <c r="A63" s="97" t="s">
        <v>187</v>
      </c>
      <c r="B63" s="97" t="s">
        <v>140</v>
      </c>
      <c r="C63" s="97" t="s">
        <v>140</v>
      </c>
      <c r="D63" s="97" t="s">
        <v>140</v>
      </c>
      <c r="E63" s="97" t="s">
        <v>140</v>
      </c>
    </row>
    <row r="64" spans="1:5" x14ac:dyDescent="0.2">
      <c r="A64" s="97" t="s">
        <v>188</v>
      </c>
      <c r="B64" s="97" t="s">
        <v>140</v>
      </c>
      <c r="C64" s="97" t="s">
        <v>140</v>
      </c>
      <c r="D64" s="97" t="s">
        <v>140</v>
      </c>
      <c r="E64" s="97" t="s">
        <v>140</v>
      </c>
    </row>
    <row r="65" spans="1:5" x14ac:dyDescent="0.2">
      <c r="A65" s="97" t="s">
        <v>189</v>
      </c>
      <c r="B65" s="101">
        <v>-3699</v>
      </c>
      <c r="C65" s="101">
        <v>-3292</v>
      </c>
      <c r="D65" s="101">
        <v>-4119</v>
      </c>
      <c r="E65" s="101">
        <v>-6440</v>
      </c>
    </row>
    <row r="66" spans="1:5" x14ac:dyDescent="0.2">
      <c r="A66" s="98" t="s">
        <v>190</v>
      </c>
      <c r="B66" s="102">
        <v>-1739</v>
      </c>
      <c r="C66" s="102">
        <v>-1832</v>
      </c>
      <c r="D66" s="102">
        <v>-1875</v>
      </c>
      <c r="E66" s="98">
        <v>-958</v>
      </c>
    </row>
    <row r="67" spans="1:5" x14ac:dyDescent="0.2">
      <c r="A67" s="98" t="s">
        <v>191</v>
      </c>
      <c r="B67" s="98">
        <v>-248</v>
      </c>
      <c r="C67" s="98">
        <v>195</v>
      </c>
      <c r="D67" s="98">
        <v>625</v>
      </c>
      <c r="E67" s="98">
        <v>-110</v>
      </c>
    </row>
    <row r="68" spans="1:5" x14ac:dyDescent="0.2">
      <c r="A68" s="103" t="s">
        <v>192</v>
      </c>
      <c r="B68" s="104">
        <v>100696</v>
      </c>
      <c r="C68" s="104">
        <v>99277</v>
      </c>
      <c r="D68" s="104">
        <v>95008</v>
      </c>
      <c r="E68" s="104">
        <v>88553</v>
      </c>
    </row>
    <row r="69" spans="1:5" x14ac:dyDescent="0.2">
      <c r="A69" s="103" t="s">
        <v>193</v>
      </c>
      <c r="B69" s="104">
        <v>196219</v>
      </c>
      <c r="C69" s="104">
        <v>205579</v>
      </c>
      <c r="D69" s="104">
        <v>203631</v>
      </c>
      <c r="E69" s="104">
        <v>203609</v>
      </c>
    </row>
  </sheetData>
  <sheetProtection sheet="1" objects="1" scenarios="1" selectLockedCells="1" selectUn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136B-BD6B-FF40-BDBF-D385149295A0}">
  <sheetPr>
    <tabColor theme="7" tint="0.59999389629810485"/>
  </sheetPr>
  <dimension ref="A1:E46"/>
  <sheetViews>
    <sheetView showGridLines="0" workbookViewId="0">
      <selection activeCell="C12" sqref="C12"/>
    </sheetView>
  </sheetViews>
  <sheetFormatPr baseColWidth="10" defaultRowHeight="16" x14ac:dyDescent="0.2"/>
  <cols>
    <col min="1" max="1" width="40.1640625" customWidth="1"/>
    <col min="2" max="2" width="16.6640625" customWidth="1"/>
    <col min="3" max="3" width="17" customWidth="1"/>
    <col min="4" max="4" width="17.6640625" customWidth="1"/>
    <col min="5" max="5" width="17" customWidth="1"/>
  </cols>
  <sheetData>
    <row r="1" spans="1:5" ht="21" x14ac:dyDescent="0.25">
      <c r="A1" s="96" t="s">
        <v>246</v>
      </c>
    </row>
    <row r="2" spans="1:5" x14ac:dyDescent="0.2">
      <c r="A2" s="97"/>
      <c r="B2" s="98" t="s">
        <v>133</v>
      </c>
      <c r="C2" s="98" t="s">
        <v>134</v>
      </c>
      <c r="D2" s="98" t="s">
        <v>135</v>
      </c>
      <c r="E2" s="98" t="s">
        <v>136</v>
      </c>
    </row>
    <row r="3" spans="1:5" x14ac:dyDescent="0.2">
      <c r="A3" s="123" t="s">
        <v>247</v>
      </c>
    </row>
    <row r="4" spans="1:5" x14ac:dyDescent="0.2">
      <c r="A4" s="124" t="s">
        <v>248</v>
      </c>
      <c r="B4" s="101">
        <v>5773</v>
      </c>
      <c r="C4" s="101">
        <v>3390</v>
      </c>
      <c r="D4" s="101">
        <v>3553</v>
      </c>
      <c r="E4" s="101">
        <v>2536</v>
      </c>
    </row>
    <row r="5" spans="1:5" x14ac:dyDescent="0.2">
      <c r="A5" s="124" t="s">
        <v>249</v>
      </c>
      <c r="B5" s="101">
        <v>4990</v>
      </c>
      <c r="C5" s="101">
        <v>5369</v>
      </c>
      <c r="D5" s="101">
        <v>5163</v>
      </c>
      <c r="E5" s="101">
        <v>5111</v>
      </c>
    </row>
    <row r="6" spans="1:5" x14ac:dyDescent="0.2">
      <c r="A6" s="125" t="s">
        <v>36</v>
      </c>
      <c r="B6" s="102">
        <v>4990</v>
      </c>
      <c r="C6" s="102">
        <v>5369</v>
      </c>
      <c r="D6" s="102">
        <v>5163</v>
      </c>
      <c r="E6" s="102">
        <v>5111</v>
      </c>
    </row>
    <row r="7" spans="1:5" x14ac:dyDescent="0.2">
      <c r="A7" s="124" t="s">
        <v>250</v>
      </c>
      <c r="B7" s="97" t="s">
        <v>140</v>
      </c>
      <c r="C7" s="97" t="s">
        <v>140</v>
      </c>
      <c r="D7" s="97" t="s">
        <v>140</v>
      </c>
      <c r="E7" s="97" t="s">
        <v>140</v>
      </c>
    </row>
    <row r="8" spans="1:5" x14ac:dyDescent="0.2">
      <c r="A8" s="124" t="s">
        <v>251</v>
      </c>
      <c r="B8" s="97">
        <v>-821</v>
      </c>
      <c r="C8" s="101">
        <v>-1346</v>
      </c>
      <c r="D8" s="97">
        <v>200</v>
      </c>
      <c r="E8" s="101">
        <v>-1241</v>
      </c>
    </row>
    <row r="9" spans="1:5" x14ac:dyDescent="0.2">
      <c r="A9" s="124" t="s">
        <v>252</v>
      </c>
      <c r="B9" s="101">
        <v>5642</v>
      </c>
      <c r="C9" s="101">
        <v>2276</v>
      </c>
      <c r="D9" s="101">
        <v>-3394</v>
      </c>
      <c r="E9" s="101">
        <v>-3033</v>
      </c>
    </row>
    <row r="10" spans="1:5" x14ac:dyDescent="0.2">
      <c r="A10" s="125" t="s">
        <v>131</v>
      </c>
      <c r="B10" s="102">
        <v>2264</v>
      </c>
      <c r="C10" s="98">
        <v>-483</v>
      </c>
      <c r="D10" s="102">
        <v>-4079</v>
      </c>
      <c r="E10" s="102">
        <v>-2695</v>
      </c>
    </row>
    <row r="11" spans="1:5" x14ac:dyDescent="0.2">
      <c r="A11" s="124" t="s">
        <v>253</v>
      </c>
      <c r="B11" s="101">
        <v>-1613</v>
      </c>
      <c r="C11" s="97">
        <v>177</v>
      </c>
      <c r="D11" s="97">
        <v>488</v>
      </c>
      <c r="E11" s="101">
        <v>2194</v>
      </c>
    </row>
    <row r="12" spans="1:5" x14ac:dyDescent="0.2">
      <c r="A12" s="125" t="s">
        <v>254</v>
      </c>
      <c r="B12" s="98">
        <v>-565</v>
      </c>
      <c r="C12" s="98">
        <v>358</v>
      </c>
      <c r="D12" s="98">
        <v>605</v>
      </c>
      <c r="E12" s="98">
        <v>-357</v>
      </c>
    </row>
    <row r="13" spans="1:5" x14ac:dyDescent="0.2">
      <c r="A13" s="125" t="s">
        <v>255</v>
      </c>
      <c r="B13" s="98">
        <v>-42</v>
      </c>
      <c r="C13" s="98">
        <v>-183</v>
      </c>
      <c r="D13" s="98">
        <v>-420</v>
      </c>
      <c r="E13" s="98">
        <v>252</v>
      </c>
    </row>
    <row r="14" spans="1:5" x14ac:dyDescent="0.2">
      <c r="A14" s="125" t="s">
        <v>256</v>
      </c>
      <c r="B14" s="98">
        <v>265</v>
      </c>
      <c r="C14" s="98">
        <v>-201</v>
      </c>
      <c r="D14" s="98">
        <v>-707</v>
      </c>
      <c r="E14" s="98">
        <v>171</v>
      </c>
    </row>
    <row r="15" spans="1:5" x14ac:dyDescent="0.2">
      <c r="A15" s="125" t="s">
        <v>27</v>
      </c>
      <c r="B15" s="98" t="s">
        <v>140</v>
      </c>
      <c r="C15" s="98" t="s">
        <v>140</v>
      </c>
      <c r="D15" s="98" t="s">
        <v>140</v>
      </c>
      <c r="E15" s="98" t="s">
        <v>140</v>
      </c>
    </row>
    <row r="16" spans="1:5" x14ac:dyDescent="0.2">
      <c r="A16" s="125" t="s">
        <v>257</v>
      </c>
      <c r="B16" s="98" t="s">
        <v>140</v>
      </c>
      <c r="C16" s="98" t="s">
        <v>140</v>
      </c>
      <c r="D16" s="98" t="s">
        <v>140</v>
      </c>
      <c r="E16" s="98" t="s">
        <v>140</v>
      </c>
    </row>
    <row r="17" spans="1:5" x14ac:dyDescent="0.2">
      <c r="A17" s="126" t="s">
        <v>258</v>
      </c>
      <c r="B17" s="104">
        <v>13971</v>
      </c>
      <c r="C17" s="104">
        <v>9866</v>
      </c>
      <c r="D17" s="104">
        <v>6010</v>
      </c>
      <c r="E17" s="104">
        <v>5567</v>
      </c>
    </row>
    <row r="18" spans="1:5" x14ac:dyDescent="0.2">
      <c r="A18" s="99" t="s">
        <v>259</v>
      </c>
    </row>
    <row r="19" spans="1:5" x14ac:dyDescent="0.2">
      <c r="A19" s="97" t="s">
        <v>38</v>
      </c>
      <c r="B19" s="101">
        <v>-5412</v>
      </c>
      <c r="C19" s="101">
        <v>-4969</v>
      </c>
      <c r="D19" s="101">
        <v>-4943</v>
      </c>
      <c r="E19" s="101">
        <v>-3578</v>
      </c>
    </row>
    <row r="20" spans="1:5" x14ac:dyDescent="0.2">
      <c r="A20" s="98" t="s">
        <v>260</v>
      </c>
      <c r="B20" s="102">
        <v>-5412</v>
      </c>
      <c r="C20" s="102">
        <v>-4969</v>
      </c>
      <c r="D20" s="102">
        <v>-4943</v>
      </c>
      <c r="E20" s="102">
        <v>-3578</v>
      </c>
    </row>
    <row r="21" spans="1:5" x14ac:dyDescent="0.2">
      <c r="A21" s="97" t="s">
        <v>261</v>
      </c>
      <c r="B21" s="101">
        <v>-1469</v>
      </c>
      <c r="C21" s="97">
        <v>328</v>
      </c>
      <c r="D21" s="97">
        <v>-65</v>
      </c>
      <c r="E21" s="97">
        <v>415</v>
      </c>
    </row>
    <row r="22" spans="1:5" x14ac:dyDescent="0.2">
      <c r="A22" s="98" t="s">
        <v>262</v>
      </c>
      <c r="B22" s="98" t="s">
        <v>140</v>
      </c>
      <c r="C22" s="98" t="s">
        <v>140</v>
      </c>
      <c r="D22" s="98" t="s">
        <v>140</v>
      </c>
      <c r="E22" s="98">
        <v>0</v>
      </c>
    </row>
    <row r="23" spans="1:5" x14ac:dyDescent="0.2">
      <c r="A23" s="98" t="s">
        <v>263</v>
      </c>
      <c r="B23" s="98">
        <v>105</v>
      </c>
      <c r="C23" s="98">
        <v>458</v>
      </c>
      <c r="D23" s="98" t="s">
        <v>140</v>
      </c>
      <c r="E23" s="98" t="s">
        <v>140</v>
      </c>
    </row>
    <row r="24" spans="1:5" x14ac:dyDescent="0.2">
      <c r="A24" s="98" t="s">
        <v>264</v>
      </c>
      <c r="B24" s="102">
        <v>-1506</v>
      </c>
      <c r="C24" s="98" t="s">
        <v>140</v>
      </c>
      <c r="D24" s="98" t="s">
        <v>140</v>
      </c>
      <c r="E24" s="98" t="s">
        <v>140</v>
      </c>
    </row>
    <row r="25" spans="1:5" x14ac:dyDescent="0.2">
      <c r="A25" s="98" t="s">
        <v>265</v>
      </c>
      <c r="B25" s="98">
        <v>-68</v>
      </c>
      <c r="C25" s="98">
        <v>-130</v>
      </c>
      <c r="D25" s="98">
        <v>-65</v>
      </c>
      <c r="E25" s="98">
        <v>415</v>
      </c>
    </row>
    <row r="26" spans="1:5" x14ac:dyDescent="0.2">
      <c r="A26" s="103" t="s">
        <v>266</v>
      </c>
      <c r="B26" s="104">
        <v>-6881</v>
      </c>
      <c r="C26" s="104">
        <v>-4641</v>
      </c>
      <c r="D26" s="104">
        <v>-5008</v>
      </c>
      <c r="E26" s="104">
        <v>-3163</v>
      </c>
    </row>
    <row r="27" spans="1:5" x14ac:dyDescent="0.2">
      <c r="A27" s="99" t="s">
        <v>267</v>
      </c>
    </row>
    <row r="28" spans="1:5" x14ac:dyDescent="0.2">
      <c r="A28" s="97" t="s">
        <v>268</v>
      </c>
      <c r="B28" s="101">
        <v>-9530</v>
      </c>
      <c r="C28" s="97">
        <v>-993</v>
      </c>
      <c r="D28" s="97">
        <v>-851</v>
      </c>
      <c r="E28" s="101">
        <v>-1121</v>
      </c>
    </row>
    <row r="29" spans="1:5" x14ac:dyDescent="0.2">
      <c r="A29" s="98" t="s">
        <v>269</v>
      </c>
      <c r="B29" s="102">
        <v>-9530</v>
      </c>
      <c r="C29" s="98">
        <v>-993</v>
      </c>
      <c r="D29" s="98">
        <v>-851</v>
      </c>
      <c r="E29" s="102">
        <v>-1121</v>
      </c>
    </row>
    <row r="30" spans="1:5" x14ac:dyDescent="0.2">
      <c r="A30" s="97" t="s">
        <v>270</v>
      </c>
      <c r="B30" s="101">
        <v>-1366</v>
      </c>
      <c r="C30" s="97" t="s">
        <v>140</v>
      </c>
      <c r="D30" s="97">
        <v>0</v>
      </c>
      <c r="E30" s="97">
        <v>0</v>
      </c>
    </row>
    <row r="31" spans="1:5" x14ac:dyDescent="0.2">
      <c r="A31" s="98" t="s">
        <v>271</v>
      </c>
      <c r="B31" s="102">
        <v>-1366</v>
      </c>
      <c r="C31" s="98" t="s">
        <v>140</v>
      </c>
      <c r="D31" s="98">
        <v>0</v>
      </c>
      <c r="E31" s="98">
        <v>0</v>
      </c>
    </row>
    <row r="32" spans="1:5" x14ac:dyDescent="0.2">
      <c r="A32" s="97" t="s">
        <v>272</v>
      </c>
      <c r="B32" s="101">
        <v>-2992</v>
      </c>
      <c r="C32" s="97">
        <v>52</v>
      </c>
      <c r="D32" s="97">
        <v>127</v>
      </c>
      <c r="E32" s="97">
        <v>435</v>
      </c>
    </row>
    <row r="33" spans="1:5" x14ac:dyDescent="0.2">
      <c r="A33" s="98" t="s">
        <v>273</v>
      </c>
      <c r="B33" s="98" t="s">
        <v>140</v>
      </c>
      <c r="C33" s="98" t="s">
        <v>140</v>
      </c>
      <c r="D33" s="98" t="s">
        <v>140</v>
      </c>
      <c r="E33" s="98" t="s">
        <v>140</v>
      </c>
    </row>
    <row r="34" spans="1:5" x14ac:dyDescent="0.2">
      <c r="A34" s="98" t="s">
        <v>274</v>
      </c>
      <c r="B34" s="102">
        <v>-2992</v>
      </c>
      <c r="C34" s="98" t="s">
        <v>140</v>
      </c>
      <c r="D34" s="98" t="s">
        <v>140</v>
      </c>
      <c r="E34" s="98" t="s">
        <v>140</v>
      </c>
    </row>
    <row r="35" spans="1:5" x14ac:dyDescent="0.2">
      <c r="A35" s="98" t="s">
        <v>275</v>
      </c>
      <c r="B35" s="102">
        <v>-2992</v>
      </c>
      <c r="C35" s="98" t="s">
        <v>140</v>
      </c>
      <c r="D35" s="98" t="s">
        <v>140</v>
      </c>
      <c r="E35" s="98" t="s">
        <v>140</v>
      </c>
    </row>
    <row r="36" spans="1:5" x14ac:dyDescent="0.2">
      <c r="A36" s="97" t="s">
        <v>276</v>
      </c>
      <c r="B36" s="101">
        <v>-1400</v>
      </c>
      <c r="C36" s="101">
        <v>-1783</v>
      </c>
      <c r="D36" s="101">
        <v>-4017</v>
      </c>
      <c r="E36" s="101">
        <v>-3699</v>
      </c>
    </row>
    <row r="37" spans="1:5" x14ac:dyDescent="0.2">
      <c r="A37" s="98" t="s">
        <v>277</v>
      </c>
      <c r="B37" s="98" t="s">
        <v>140</v>
      </c>
      <c r="C37" s="98" t="s">
        <v>140</v>
      </c>
      <c r="D37" s="98" t="s">
        <v>140</v>
      </c>
      <c r="E37" s="98" t="s">
        <v>140</v>
      </c>
    </row>
    <row r="38" spans="1:5" x14ac:dyDescent="0.2">
      <c r="A38" s="98" t="s">
        <v>278</v>
      </c>
      <c r="B38" s="102">
        <v>1532</v>
      </c>
      <c r="C38" s="98">
        <v>-191</v>
      </c>
      <c r="D38" s="98">
        <v>-334</v>
      </c>
      <c r="E38" s="98">
        <v>-26</v>
      </c>
    </row>
    <row r="39" spans="1:5" x14ac:dyDescent="0.2">
      <c r="A39" s="98" t="s">
        <v>279</v>
      </c>
      <c r="B39" s="102">
        <v>-3064</v>
      </c>
      <c r="C39" s="102">
        <v>-1675</v>
      </c>
      <c r="D39" s="102">
        <v>-4016</v>
      </c>
      <c r="E39" s="102">
        <v>-3737</v>
      </c>
    </row>
    <row r="40" spans="1:5" x14ac:dyDescent="0.2">
      <c r="A40" s="98" t="s">
        <v>280</v>
      </c>
      <c r="B40" s="102">
        <v>-2932</v>
      </c>
      <c r="C40" s="102">
        <v>-1592</v>
      </c>
      <c r="D40" s="102">
        <v>-3683</v>
      </c>
      <c r="E40" s="102">
        <v>-3673</v>
      </c>
    </row>
    <row r="41" spans="1:5" x14ac:dyDescent="0.2">
      <c r="A41" s="98" t="s">
        <v>281</v>
      </c>
      <c r="B41" s="98" t="s">
        <v>140</v>
      </c>
      <c r="C41" s="98" t="s">
        <v>140</v>
      </c>
      <c r="D41" s="98" t="s">
        <v>140</v>
      </c>
      <c r="E41" s="98" t="s">
        <v>140</v>
      </c>
    </row>
    <row r="42" spans="1:5" x14ac:dyDescent="0.2">
      <c r="A42" s="103" t="s">
        <v>282</v>
      </c>
      <c r="B42" s="104">
        <v>-15288</v>
      </c>
      <c r="C42" s="104">
        <v>-2724</v>
      </c>
      <c r="D42" s="104">
        <v>-4741</v>
      </c>
      <c r="E42" s="104">
        <v>-4385</v>
      </c>
    </row>
    <row r="43" spans="1:5" x14ac:dyDescent="0.2">
      <c r="A43" s="97" t="s">
        <v>283</v>
      </c>
      <c r="B43" s="97">
        <v>65</v>
      </c>
      <c r="C43" s="97">
        <v>73</v>
      </c>
      <c r="D43" s="97">
        <v>-603</v>
      </c>
      <c r="E43" s="97">
        <v>30</v>
      </c>
    </row>
    <row r="44" spans="1:5" x14ac:dyDescent="0.2">
      <c r="A44" s="103" t="s">
        <v>76</v>
      </c>
      <c r="B44" s="104">
        <v>-8133</v>
      </c>
      <c r="C44" s="104">
        <v>2574</v>
      </c>
      <c r="D44" s="104">
        <v>-4342</v>
      </c>
      <c r="E44" s="104">
        <v>-1951</v>
      </c>
    </row>
    <row r="45" spans="1:5" x14ac:dyDescent="0.2">
      <c r="A45" s="97" t="s">
        <v>284</v>
      </c>
      <c r="B45" s="101">
        <v>2134</v>
      </c>
      <c r="C45" s="101">
        <v>2110</v>
      </c>
      <c r="D45" s="101">
        <v>1685</v>
      </c>
      <c r="E45" s="101">
        <v>1892</v>
      </c>
    </row>
    <row r="46" spans="1:5" x14ac:dyDescent="0.2">
      <c r="A46" s="97" t="s">
        <v>285</v>
      </c>
      <c r="B46" s="101">
        <v>3963</v>
      </c>
      <c r="C46" s="101">
        <v>1193</v>
      </c>
      <c r="D46" s="101">
        <v>1097</v>
      </c>
      <c r="E46" s="101">
        <v>1638</v>
      </c>
    </row>
  </sheetData>
  <sheetProtection sheet="1" objects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0FA0BD-5146-3F43-A01E-EE29B0D9A1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DCF Valuation</vt:lpstr>
      <vt:lpstr>Forecasted Assumptions</vt:lpstr>
      <vt:lpstr>Income Statement Forecast</vt:lpstr>
      <vt:lpstr>Balance Sheet Forecast</vt:lpstr>
      <vt:lpstr>Cash Flows Forecast</vt:lpstr>
      <vt:lpstr>Ratio Analysis</vt:lpstr>
      <vt:lpstr>Financials --&gt;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Stocker;John</dc:creator>
  <cp:lastModifiedBy>Josh Atkinson</cp:lastModifiedBy>
  <cp:lastPrinted>2025-07-30T05:11:38Z</cp:lastPrinted>
  <dcterms:created xsi:type="dcterms:W3CDTF">2021-09-29T14:16:09Z</dcterms:created>
  <dcterms:modified xsi:type="dcterms:W3CDTF">2025-08-01T10:46:17Z</dcterms:modified>
</cp:coreProperties>
</file>